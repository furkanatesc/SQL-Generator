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bdullahakbal1\Desktop\"/>
    </mc:Choice>
  </mc:AlternateContent>
  <xr:revisionPtr revIDLastSave="0" documentId="13_ncr:1_{AA756D49-A601-4FEA-BF98-8E866005E6FD}" xr6:coauthVersionLast="47" xr6:coauthVersionMax="47" xr10:uidLastSave="{00000000-0000-0000-0000-000000000000}"/>
  <bookViews>
    <workbookView xWindow="-120" yWindow="-120" windowWidth="29040" windowHeight="15720" xr2:uid="{00000000-000D-0000-FFFF-FFFF00000000}"/>
  </bookViews>
  <sheets>
    <sheet name="Sayfa1" sheetId="1" r:id="rId1"/>
    <sheet name="Veri"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A5" i="1" l="1"/>
  <c r="EE5" i="1"/>
  <c r="EI5" i="1"/>
  <c r="ER5" i="1"/>
  <c r="EZ5" i="1" s="1"/>
  <c r="EV5" i="1"/>
  <c r="EW5" i="1"/>
  <c r="EX5" i="1"/>
  <c r="EY5" i="1"/>
  <c r="FD5" i="1" l="1"/>
  <c r="FH5" i="1"/>
  <c r="FM5" i="1"/>
  <c r="FR5" i="1"/>
  <c r="GB5" i="1"/>
  <c r="FY5" i="1"/>
  <c r="FZ5" i="1"/>
  <c r="GA5" i="1"/>
  <c r="FX5" i="1"/>
  <c r="GI5" i="1"/>
  <c r="GN5" i="1"/>
  <c r="GR5" i="1"/>
  <c r="GQ5" i="1"/>
  <c r="GP5" i="1"/>
  <c r="GO5" i="1"/>
  <c r="GX5" i="1"/>
  <c r="HC5" i="1"/>
  <c r="HH5" i="1"/>
  <c r="HM5" i="1"/>
  <c r="HR5" i="1"/>
  <c r="HW5" i="1"/>
  <c r="IB5" i="1"/>
  <c r="IG5" i="1"/>
  <c r="IL5" i="1"/>
  <c r="IQ5" i="1"/>
  <c r="DQ5" i="1"/>
  <c r="DN5" i="1"/>
  <c r="DL5" i="1"/>
  <c r="DJ5" i="1"/>
  <c r="CU5" i="1"/>
  <c r="CT5" i="1"/>
  <c r="CP5" i="1"/>
  <c r="CQ5" i="1"/>
  <c r="CS5" i="1"/>
  <c r="CR5" i="1"/>
  <c r="BV5" i="1"/>
  <c r="BT5" i="1"/>
  <c r="BG5" i="1"/>
  <c r="BF5" i="1"/>
  <c r="BD5" i="1"/>
  <c r="BA5" i="1"/>
  <c r="AZ5" i="1"/>
  <c r="AY5" i="1"/>
  <c r="AX5" i="1"/>
  <c r="AU5" i="1"/>
  <c r="AN5" i="1"/>
  <c r="AM5" i="1"/>
  <c r="AL5" i="1"/>
  <c r="AJ5" i="1"/>
  <c r="AH5" i="1"/>
  <c r="AC5" i="1"/>
  <c r="X5" i="1"/>
  <c r="G5" i="1"/>
  <c r="BB5" i="1"/>
  <c r="GS5" i="1" l="1"/>
</calcChain>
</file>

<file path=xl/sharedStrings.xml><?xml version="1.0" encoding="utf-8"?>
<sst xmlns="http://schemas.openxmlformats.org/spreadsheetml/2006/main" count="568" uniqueCount="466">
  <si>
    <t>SIRA NO</t>
  </si>
  <si>
    <t>KURUM ADI</t>
  </si>
  <si>
    <t>GENEL TOPLAM MUAYENE SAYISI (ACİL+POL+DİŞ+TÜMÜ)</t>
  </si>
  <si>
    <t>TOPLAM DİŞ MUAYENE SAYISI</t>
  </si>
  <si>
    <t>TOPLAM MUAYENE SAYISI            (ACİL dahil Diş Hariç)</t>
  </si>
  <si>
    <t>KLİNİSYEN HEKİM BAŞINA DÜŞEN NÜFUS  (TÜİK Son Açıklanan Antalya Nüfusuna Göre)</t>
  </si>
  <si>
    <t>KİŞİ BAŞI HEKİME MÜRACAAT SAYISI   (Muayene Sayılarına Göre) (1000kişi başına)</t>
  </si>
  <si>
    <t>BAKILAN HASTA NİTELİĞİ (İstatistik amaçlı olup toplam sayılara mükerrer eklenmemesine dikkat edilmelidir.)</t>
  </si>
  <si>
    <t>ACİL MUAYENE SAYILARI VE ORANLARI</t>
  </si>
  <si>
    <t>POLİKLİNİK MUAYENE SAYILARI</t>
  </si>
  <si>
    <t>ACİLDE YAZILAN REÇETE SAYISI</t>
  </si>
  <si>
    <t>POLİKLİNİKTE YAZILAN REÇETE SAYISI</t>
  </si>
  <si>
    <t>YATAN HASTA SAYISI VE ORANI</t>
  </si>
  <si>
    <t>TOPLAM TABURCU SAYISI</t>
  </si>
  <si>
    <t>TOPLAM ÖLEN HASTA SAYSI</t>
  </si>
  <si>
    <t>ACİL SERVİSTE ÖLEN SAYISI</t>
  </si>
  <si>
    <t>TESCİLLİ YATAK SAYISI</t>
  </si>
  <si>
    <t>FİİLİ YATAK SAYISI</t>
  </si>
  <si>
    <t>NİTELİKLİ YATAK SAYISI</t>
  </si>
  <si>
    <t>NİTELİKLİ YATAK ORANI</t>
  </si>
  <si>
    <t>HASTANENİZ TOPLAM YATILAN GÜN SAYISI</t>
  </si>
  <si>
    <t>HASTANENİZ YATILAN GÜN SAYISI  (YB HARİÇ)</t>
  </si>
  <si>
    <t>HASTANENİZ YATAK DOLULUK ORANI (fiili yatak sayısına göre YB dahil)</t>
  </si>
  <si>
    <t>HASTANENİZ YATAK DOLULUK ORANI (fiili yatak sayısına göre YB hariç)</t>
  </si>
  <si>
    <t>BİR HASTANIN ORTALAMA KALIŞ GÜNÜ</t>
  </si>
  <si>
    <t>DEVİR ARALIĞI (Gün)</t>
  </si>
  <si>
    <t>YATAK DEVİR HIZI (Hasta)</t>
  </si>
  <si>
    <t>DAHİLİ BRANŞLARA AİT SERVİS YATAK SAYISI</t>
  </si>
  <si>
    <t>DAHİLİ BRANŞLARA AİT SERVİS YATAK DOLULUK ORANI</t>
  </si>
  <si>
    <t>CERRAHİ BRANŞLARA AİT SERVİS YATAK SAYISI</t>
  </si>
  <si>
    <t>CERRAHİ BRANŞLARA AİT SERVİS YATAK DOLULUK ORANI</t>
  </si>
  <si>
    <t>KLİN.UZMAN HEKİM BAŞ.DÜŞEN GÜNLÜK MUA.SAY.(Acil ve Diş Hariç)</t>
  </si>
  <si>
    <t>KLİNİSYEN UZMAN HEKİM SAYISI</t>
  </si>
  <si>
    <t>KLİNİSYEN OLMAYAN UZMAN HEKİM SAYISI</t>
  </si>
  <si>
    <t>TOPLAM UZMAN HEKİM SAYISI</t>
  </si>
  <si>
    <t>ASİSTAN HEKİM SAYISI</t>
  </si>
  <si>
    <t>PRATİSYEN HEKİM SAYISI</t>
  </si>
  <si>
    <t>GENEL TOPLAM HEKİM SAYISI</t>
  </si>
  <si>
    <t>DİŞ HEKİMİ SAYISI (Uzman+Normal)</t>
  </si>
  <si>
    <t>ECZACI SAYISI</t>
  </si>
  <si>
    <t>HEMŞİRE SAYISI</t>
  </si>
  <si>
    <t>EBE SAYISI</t>
  </si>
  <si>
    <t>DİĞER SAĞLIK PERSONELİ SAYISI</t>
  </si>
  <si>
    <t>DİĞER PERSONEL SAYISI</t>
  </si>
  <si>
    <t>DAHİLİ BRANŞ KLİN.UZMAN HEKİM BAŞ.DÜŞEN GÜNLÜK MUA.SAY.(Acil ve Diş Hariç)</t>
  </si>
  <si>
    <t>DAHİLİ BRANŞ KLİNİSYEN UZMAN SAYISI</t>
  </si>
  <si>
    <t>CERRAHİ BRANŞ KLİN.UZMAN HEKİM BAŞ.DÜŞEN GÜNLÜK MUA.SAY.(Acil ve Diş Hariç)</t>
  </si>
  <si>
    <t>CERRAHİ BRANŞ KLİNİSYEN UZMAN SAYISI</t>
  </si>
  <si>
    <t>MESAİ İÇİ AMELİYAT SAYISI</t>
  </si>
  <si>
    <t>MESAİ DIŞI AMELİYAT SAYISI</t>
  </si>
  <si>
    <t>GENEL TOPLAM AMELİYAT SAYISI (MESAİ İÇİ+DIŞI)(TÜM GRUPLAR)</t>
  </si>
  <si>
    <t>TOPLAM ABC AMELİYAT SAYISI (MESAİ İÇİ+DIŞI)(ABC)</t>
  </si>
  <si>
    <t>MESAİ DIŞI ABC AMELİYAT ORANI (Toplam ameliyet sayısı içindeki)</t>
  </si>
  <si>
    <t>BÜYÜK VE ORTA (A,B,C,) AMELİYAT ORANI (%) (Toplam Ameliyat Sayısı İçindeki)</t>
  </si>
  <si>
    <t>AMELİYAT MASASI BAŞINA DÜŞEN AMELİYAT SAYISI (GÜNLÜK)  (A-B-C Ameliyatlar için)</t>
  </si>
  <si>
    <t>CERR.HEK.BAŞ.DÜŞEN AYLIK BÜYÜK VE ORTA (A,B,C) AMEL.SAYISI</t>
  </si>
  <si>
    <t>AMELİYAT MASA SAYISI TOPLAM</t>
  </si>
  <si>
    <t>AMELİYAT MASA SAYISI AKTİF</t>
  </si>
  <si>
    <t>KARDİYOLOJİ UZMAN SAYISI</t>
  </si>
  <si>
    <t>KVC CERRAH SAYISI</t>
  </si>
  <si>
    <t>ANJİYOGRAFİ CİHAZ SAYISI</t>
  </si>
  <si>
    <t>ANJİYOGRAFİ CİHAZ BAŞINA DÜŞEN VAKA SAYISI</t>
  </si>
  <si>
    <t>KORONER ANJİYO SAYISI</t>
  </si>
  <si>
    <t>STENT/PTCA KORONER GİRİŞİM YAPILAN HASTA SAYISI</t>
  </si>
  <si>
    <t>BY-PASS KARARI VERİLEN HASTA SAYISI</t>
  </si>
  <si>
    <t>BY-PASS YAPILAN HASTA SAYISI</t>
  </si>
  <si>
    <t>TOPLAM DOĞUM SAYISI</t>
  </si>
  <si>
    <t>TOPLAM NORMAL DOĞUM SAYISI</t>
  </si>
  <si>
    <t>NORMAL DOĞUM ORANI</t>
  </si>
  <si>
    <t>TOPLAM SEZARYEN DOĞUM SAYISI</t>
  </si>
  <si>
    <t>SEZARYEN ORANI</t>
  </si>
  <si>
    <t>PRİMER SEZARYEN DOĞUM SAYISI</t>
  </si>
  <si>
    <t>PRİMER SEZARYEN ORANI</t>
  </si>
  <si>
    <t>MESAİ DIŞI PRİMER SEZERYAN SAYISI</t>
  </si>
  <si>
    <t>MESAİ DIŞI PRİMER SEZARYEN ORANI</t>
  </si>
  <si>
    <t>MÜDAHALELİ DOĞUM SAYISI</t>
  </si>
  <si>
    <t>TOPLAM YOĞUN BAKIM YATAK SAYISI</t>
  </si>
  <si>
    <t>TOPLAM YOĞUN BAKIM DOLUUK ORANI</t>
  </si>
  <si>
    <t>TOPLAM VENTİLATÖR SAYISI AKTİF</t>
  </si>
  <si>
    <t>TOPLAM VENTİLATÖR SAYISI STANDART</t>
  </si>
  <si>
    <t>YB de Kullanılan Diyaliz Cihaz Sayısı</t>
  </si>
  <si>
    <t>ERİŞKİN YOĞUN BAKIMDA 1 AYDAN UZUN YATAN SAYISI (ANLIK)</t>
  </si>
  <si>
    <t>ÇOCUK YOĞUN BAKIMDA 1 AYDAN UZUN YATAN SAYISI (ANLIK)</t>
  </si>
  <si>
    <t>YENİDOĞAN YOĞUN BAKIMDA 1 AYDAN UZUN YATAN SAYISI (ANLIK)</t>
  </si>
  <si>
    <t>ERİŞKİN YB YATAK SAYISI</t>
  </si>
  <si>
    <t>ERİŞKİN YB YATAN HASTA SAYISI (*)</t>
  </si>
  <si>
    <t>ERİŞKİN YB YATILAN GÜN SAYISI</t>
  </si>
  <si>
    <t>ERİŞKİN YOĞUN BAKIM YATAK DOLULUK ORANI</t>
  </si>
  <si>
    <t>ERİŞKİN YB VENTİLATÖR SAYISI</t>
  </si>
  <si>
    <t>ERİŞKİN YB VENTİLATÖR GÜN SAYISI</t>
  </si>
  <si>
    <t>ERİŞKİN YB VENTİLATÖR DOLULUK ORANI</t>
  </si>
  <si>
    <t>ÇOCUK YB YATAK SAYISI</t>
  </si>
  <si>
    <t>ÇOCUK YB YATAN HASTA SAYISI</t>
  </si>
  <si>
    <t>ÇOCUK YB YATILAN GÜN SAYISI</t>
  </si>
  <si>
    <t>ÇOCUK YOĞUN BAKIM YATAK DOLULUK ORANI</t>
  </si>
  <si>
    <t>ÇOCUK YB VENTİLATÖR SAYISI AKTİF</t>
  </si>
  <si>
    <t>ÇOCUK YB VENTİLATÖR SAYISI STANDART</t>
  </si>
  <si>
    <t>ÇOCUK YB VENTİLATÖR GÜN SAYISI</t>
  </si>
  <si>
    <t>ÇOCUK YB VENTİLATÖR DOLULUK ORANI</t>
  </si>
  <si>
    <t>YENİDOĞAN YB YATAK SAYISI</t>
  </si>
  <si>
    <t>YENİDOĞAN YB YATAN HASTA SAYISI (*)</t>
  </si>
  <si>
    <t>YENİDOĞAN YB YATILAN GÜN SAYISI</t>
  </si>
  <si>
    <t>YENİDOĞAN YOĞUN BAKIM YATAK DOLULUK ORANI</t>
  </si>
  <si>
    <t>YENİDOĞAN YB VENTİLATÖR SAYISI</t>
  </si>
  <si>
    <t>YENİDOĞAN YB VENTİLATÖR GÜN SAYISI</t>
  </si>
  <si>
    <t>YENİDOĞAN YB VENTİLATÖR DOLULUK ORANI</t>
  </si>
  <si>
    <t>BT</t>
  </si>
  <si>
    <t>MR</t>
  </si>
  <si>
    <t>KEMİK DANSİTOMETRİ</t>
  </si>
  <si>
    <t>MAMOGRAFİ</t>
  </si>
  <si>
    <t>EKO</t>
  </si>
  <si>
    <t>EEG</t>
  </si>
  <si>
    <t>EMG</t>
  </si>
  <si>
    <t>USG</t>
  </si>
  <si>
    <t>PET/CT</t>
  </si>
  <si>
    <t>SPECT/CT</t>
  </si>
  <si>
    <t>LİNEER HIZLANDIRICI</t>
  </si>
  <si>
    <t>GAMA KNİFE</t>
  </si>
  <si>
    <t>EVDE SAĞLIK KAPSAMINDA SON AY TAKİP EDİLEN HASTA SAYISI</t>
  </si>
  <si>
    <t>EVDE SAĞLIK KAPSAMINDA SON AY ZİYARET EDİLEN HASTA SAYISI</t>
  </si>
  <si>
    <t>PDC(Personel dağılım cetveli) DOLULUK ORANI</t>
  </si>
  <si>
    <t>PALYATİF BAKIM HİZMETLERİ HASTANE ROLÜ</t>
  </si>
  <si>
    <t>PALYATİF BAKIM TESCİLLİ YATAK SAYISI</t>
  </si>
  <si>
    <t>PALYATİF BAKIM FİİİLİ YATAK SAYISI</t>
  </si>
  <si>
    <t>PALYATİF BAKIM TESCİLLİ YATAK DOLULUK ORANI (%)</t>
  </si>
  <si>
    <t>PALYATİF BAKIM FİİLİ YATAK DOLULUK ORANI(%)</t>
  </si>
  <si>
    <t>PALYATİF BAKIM ORTALAMA KALIŞ GÜN SAYISI</t>
  </si>
  <si>
    <t>SGK KAPSAMINDA BAKILAN MUAYENE SAYISI</t>
  </si>
  <si>
    <t>SGK DIŞI BAKILAN HASTA MUAYENE  SAYISI</t>
  </si>
  <si>
    <t>YABANCI HASTA MUAYENE SAYISI</t>
  </si>
  <si>
    <t>YEŞİL ALAN MUAYENE SAYISI</t>
  </si>
  <si>
    <t>YEŞİL ALAN MUAYENE ORANI</t>
  </si>
  <si>
    <t>SARI ALAN MUAYENE SAYISI</t>
  </si>
  <si>
    <t>SARI ALAN MUAYENE ORANI</t>
  </si>
  <si>
    <t>KIRMIZI ALAN MUAYENE SAYISI</t>
  </si>
  <si>
    <t>KIRMIZI ALAN MUAYENE ORANI</t>
  </si>
  <si>
    <t>TOPLAM ACİL MUAYENE SAYISI</t>
  </si>
  <si>
    <t>TOPLAM ACİL MUAYENE ORANI (Toplam muayeneler içinde acil muayenelerin oranı)</t>
  </si>
  <si>
    <t>DAHİLİ</t>
  </si>
  <si>
    <t>CERRAHİ</t>
  </si>
  <si>
    <t>TOPLAM POLİKLİNİK MUAYENE SAYISI</t>
  </si>
  <si>
    <t>POLİKLİNİK ODA SAYISI</t>
  </si>
  <si>
    <t>E-REÇETE</t>
  </si>
  <si>
    <t>E-REÇETE ORANI</t>
  </si>
  <si>
    <t>MANUEL</t>
  </si>
  <si>
    <t>MANUEL ORANI</t>
  </si>
  <si>
    <t>TOPLAM ACİL REÇETE SAYISI</t>
  </si>
  <si>
    <t>TOPLAM POLİKLİNİK REÇETE SAYISI</t>
  </si>
  <si>
    <t>TOPLAM ACİLDEN YATAN HASTA SAYIS</t>
  </si>
  <si>
    <t>ACİLDEN HASTA YATIŞ ORANI</t>
  </si>
  <si>
    <t>TOPLAM POLİKLİNİKTEN YATAN HASTA SAYIS</t>
  </si>
  <si>
    <t>POLİKLİNİKTEN HASTA YATIŞ ORANI</t>
  </si>
  <si>
    <t>TOPLAM YATAN HASTA SAYISI</t>
  </si>
  <si>
    <t>GENEL HASTA YATIŞ ORANI</t>
  </si>
  <si>
    <t>ACİLDEN YATAN HASTA ORANI</t>
  </si>
  <si>
    <t>POLİKLİNİKTEN YATAN HASTA ORANI</t>
  </si>
  <si>
    <t>A</t>
  </si>
  <si>
    <t>B</t>
  </si>
  <si>
    <t>C</t>
  </si>
  <si>
    <t>D</t>
  </si>
  <si>
    <t>E</t>
  </si>
  <si>
    <t>D GRUBU GÜNÜBİRLİK AMELİYAT SAYISI</t>
  </si>
  <si>
    <t>E GRUBU GÜNÜBİRLİK AMELİYAT SAYISI</t>
  </si>
  <si>
    <t>DİĞER GÜNÜBİRLİK AMELİYAT SAYISI (ABC günübirliği ifade eder)</t>
  </si>
  <si>
    <t>TOPLAM MESAİ İÇİ AMELİYAT SAYISI (bu alana A, B, C,D,E dahil tüm ameliyatlar yazılacak)</t>
  </si>
  <si>
    <t>TOPLAM MESAİ DIŞI AMELİYAT SAYISI (bu alana A, B, C,D,E  dahil tüm ameliyatlar yazılacak)</t>
  </si>
  <si>
    <t>1. BASAMAK</t>
  </si>
  <si>
    <t>2. BASAMAK</t>
  </si>
  <si>
    <t>3. BASAMAK</t>
  </si>
  <si>
    <t>TOPLAM ERİŞKİN YB YATAK SAYISI</t>
  </si>
  <si>
    <t>ERİŞKİN YB TÜM BASAMAKLAR TOPLAM YATAN HASTA SAYISI</t>
  </si>
  <si>
    <t>ERİŞKİN YB TÜM BASAMAKLAR TOPLAM YATILAN GÜN SAYISI</t>
  </si>
  <si>
    <t>ERİŞKİN YB TÜM BASAMAKLAR GENEL YATAK DOLULUK ORANI</t>
  </si>
  <si>
    <t>ERİŞKİN YB 1.BASAMAK  YATAK DOLULUK ORANI</t>
  </si>
  <si>
    <t>ERİŞKİN YB 2.BASAMAK  YATAK DOLULUK ORANI</t>
  </si>
  <si>
    <t>ERİŞKİN YB 3.BASAMAK  YATAK DOLULUK ORANI</t>
  </si>
  <si>
    <t>TOPLAM VENT SAYISI AKTİF</t>
  </si>
  <si>
    <t>TOPLAM VENT SAYISI STANDART</t>
  </si>
  <si>
    <t>ERİŞKİN YB TÜM BASAMAKLAR TOPLAM VENTİLATÖR GÜN SAYISI</t>
  </si>
  <si>
    <t>ERİŞKİN YB TÜM BASAMAKLAR TOPLAM VENTİLATÖR DOLULUK ORANI</t>
  </si>
  <si>
    <t>3.BASAMAK</t>
  </si>
  <si>
    <t>4.BASAMAK 4a</t>
  </si>
  <si>
    <t>YOPLAM YENİDOĞAN YB YATAK SAYISI</t>
  </si>
  <si>
    <t>YENİDOĞAN YB TÜM BASAMAKLAR TOPLAM YATAN HASTA SAYISI</t>
  </si>
  <si>
    <t>YENİDOĞAN YB TÜM BASAMAKLAR TOPLAM YATILAN GÜN SAYISI</t>
  </si>
  <si>
    <t>YENİDOĞAN YB TÜM BASAMAKLAR GENEL YATAK DOLULUK ORANI</t>
  </si>
  <si>
    <t>TRANSPORT VENTİLATÖR SAYISI</t>
  </si>
  <si>
    <t>TOPLAM VENT. SAYISI AKTİF</t>
  </si>
  <si>
    <t>TOPLAM VENT. SAYISI STANDART</t>
  </si>
  <si>
    <t>YENİDOĞAN YB TÜM BASAMAKLAR TOPLAM VENTİLATÖR GÜN SAYISI</t>
  </si>
  <si>
    <t>YENİDOĞAN YB TÜM BASAMAKLAR TOPLAM VENTİLATÖR DOLULUK ORANI</t>
  </si>
  <si>
    <t>CİHAZ SAYISI (Hizmet alımı dahil)</t>
  </si>
  <si>
    <t>ÇEKİM SAYISI  (HİZMET ALIMI DAHİL)</t>
  </si>
  <si>
    <t>EN UZUN RANDEVU SÜRESİ</t>
  </si>
  <si>
    <t>***HİZMET ALIMI İLE YAPILAN ÇEKİM SAYISI</t>
  </si>
  <si>
    <t>BT İÇİN HER 1000 MUAYENE İÇİN İSTENİLEN TETKİK SAYISI</t>
  </si>
  <si>
    <t>ÇEKİM SAYISI (HİZMET ALIMI DAHİL)</t>
  </si>
  <si>
    <t>MR İÇİN HER 1000 MUAYENE İÇİN İSTENİLEN TETKİK SAYISI</t>
  </si>
  <si>
    <t>KEMİK DANS. İÇİN HER 1000 MUAYENE İÇİN İSTENİLEN TETKİK SAYISI</t>
  </si>
  <si>
    <t>CİHAZ SAYISI</t>
  </si>
  <si>
    <t>MAMOGRAFİ ÇEKİM SAYISI( HER 1000 MUAYENE İÇİN İSTENİLEN TETKİK SAYISI</t>
  </si>
  <si>
    <t>EKO ÇEKİM SAYISI( HER 1000 MUAYENE İÇİN İSTENİLEN TETKİK SAYISI)</t>
  </si>
  <si>
    <t>EEG ÇEKİM SAYISI( HER 1000 MUAYENE İÇİN İSTENİLEN TETKİK SAYISI)</t>
  </si>
  <si>
    <t>EMG ÇEKİM SAYISI( HER 1000 MUAYENE İÇİN İSTENİLEN TETKİK SAYISI)</t>
  </si>
  <si>
    <t>USG CİHAZ SAYISI DOPPLER DAHİL</t>
  </si>
  <si>
    <t>USG ÇEKİM SAYISI( HER 1000 MUAYENE İÇİN İSTENİLEN TETKİK SAYISI)</t>
  </si>
  <si>
    <t>PET/CT ÇEKİM SAYISI( HER 1000 MUAYENE İÇİN İSTENİLEN TETKİK SAYISI)</t>
  </si>
  <si>
    <t>SPECT/CT ÇEKİM SAYISI( HER 1000 MUAYENE İÇİN İSTENİLEN TETKİK SAYISI)</t>
  </si>
  <si>
    <t>İŞLEM SAYISI</t>
  </si>
  <si>
    <t>Belirtilen ay içinde hastadan veya hastanın sahip olduğu kamu-özel sigortalardan (SGK, yeşil kart ve GSS vb. dâhil) muayene kaydı yapılan her giriş muayene sayısına dâhil edilmelidir.</t>
  </si>
  <si>
    <t>Ancak sadece enjeksiyon ve pansuman için gelen hasta kayıtları muayeneye dahil edilmeyecektir.</t>
  </si>
  <si>
    <t>Kontrol muayeneleri için ayrı bir protokol kaydı açılmadığı sürece muayene sayısına dâhil edilmeyecektir. Ayrı bir protokol kaydı açılarak kontrol muayenesine gelen hasta verisi muayene sayısına dâhil edilecektir.</t>
  </si>
  <si>
    <t>Radyoloji ve Nükleer Tıp servislerinde muayene yapılmaz, bu servislerde verilmiş olan hizmet tetkik kısmında gösterilmelidir.</t>
  </si>
  <si>
    <t>Nükleer Tıp branşına ait sadece “radyoaktif iyot tedavisi muayenesi” muayenes sayısına dahil edilmelidir.</t>
  </si>
  <si>
    <r>
      <rPr>
        <b/>
        <sz val="11"/>
        <color theme="1"/>
        <rFont val="Calibri"/>
        <family val="2"/>
        <charset val="162"/>
        <scheme val="minor"/>
      </rPr>
      <t>Muayene Sayısı;</t>
    </r>
    <r>
      <rPr>
        <sz val="11"/>
        <color theme="1"/>
        <rFont val="Calibri"/>
        <family val="2"/>
        <scheme val="minor"/>
      </rPr>
      <t xml:space="preserve"> bu alana hastaların ayaktan muayene, tetkik, teşhis ve tedavi hizmetlerinin yapılması amacı ile kurumunuza yapılan başvuru sayıları yazılacaktır.</t>
    </r>
  </si>
  <si>
    <t>Yatan hastaların serviste yattığı gün sayıları, formdaki yatılan gün sayıları alanına yazılacak olup, ayrıca kurum içi başka servisten de sevk edilerek gelen hastaların yattığı gün sayısı da yatılan gün sayılarına eklenmelidir.</t>
  </si>
  <si>
    <t>Örneğin; 5 Ocak‟ta Dahiliye servisine yatışı yapılan bir hasta 8 Ocak‟ta Dahiliye servisinden Üroloji servisine sevk edilip buradan 12 Ocakta taburcu olursa;</t>
  </si>
  <si>
    <t>Yatan Hasta Sayısı</t>
  </si>
  <si>
    <t>Yatılan Gün Sayısı</t>
  </si>
  <si>
    <t>Dahiliye servisi</t>
  </si>
  <si>
    <t>Üroloji servisi</t>
  </si>
  <si>
    <r>
      <rPr>
        <b/>
        <sz val="11"/>
        <color theme="1"/>
        <rFont val="Calibri"/>
        <family val="2"/>
        <charset val="162"/>
        <scheme val="minor"/>
      </rPr>
      <t>“Yatan Hasta Sayısı” alanına</t>
    </r>
    <r>
      <rPr>
        <sz val="11"/>
        <color theme="1"/>
        <rFont val="Calibri"/>
        <family val="2"/>
        <scheme val="minor"/>
      </rPr>
      <t>; yatışı yapılan hastalar yazılacak olup; günübirlik hastalar bu alana dâhil edilmeyecektir.</t>
    </r>
  </si>
  <si>
    <t>Taburcu Olan; hastaların şifa ile haliyle, kendi isteği ile hastaneden ayrılan veya başka hastanelere sevk edilen hastaların toplamı yazılacaktır. Hastane içinde başka servise gönderilen hastalar bu alana yazılmayacaktır.</t>
  </si>
  <si>
    <t>Örneğin; Dahiliye kliniğinde yatarken kardiyoloji kliniğine sevk edilen hasta kardiyoloji kliniğinden sonra hastaneden taburcu olursa; bu hasta Dahiliye kliniği taburcu sayısına eklenmemeli, sadece Kardiyoloji kliniği taburcu sayısına eklenmelidir.</t>
  </si>
  <si>
    <t>Yatılan Gün Sayısı; yatan hastaların hastanede kaldığı günlerin toplamıdır. Yatılan gün sayısına, hastanede veri girilen dönem içinde, taburcu olan, ölen, yatarken başka servise giden ve halen yatan hastaların yatılan günlerinin toplamı yazılmalıdır. Kısacası belirtilen dönem içinde ilgili serviste yatmış olan ve halen yatan tüm hastaların yattığı gün sayısı hesaba katılmalıdır. Bu alana yatışı yapılan hastaların yatılan günü alınacak olup, günübirlik hastaların yatış saatleri bu alana dâhil edilmeyecektir. Aynı gün yatışı yapılan (günübirlik hariç) bir hasta, aynı gün içerisinde taburcu edilirse; yatılan günü “1” olarak alınacaktır.</t>
  </si>
  <si>
    <t>Örneğin; 20 Haziran 2014‟de Dahiliye kliniğine yatan ve 10 Temmuz 2014 itibariyle de Dahiliye kliniğinde yatmaya devam eden hasta için, yatılan gün sayısının 11 gününü Haziran 2013 tarihinde 9 gününü ise Temmuz 2013 tarihinde göstermesi gerekmektedir.</t>
  </si>
  <si>
    <t>Yatılan gün hesaplanmasında hastanın giriş çıkış günlerinden yalnız girdiği gün sayılır çıkış günü sayılmaz, hastanın çıkış tarihinden giriş tarihi çıkarılarak elde edilir. Aynı gün yatıp çıkan hastanın hasta günü “1” gün olarak kabul edilir.</t>
  </si>
  <si>
    <t>Bir servisin belirtilen dönem içindeki yatan hasta sayısı hesaplanırken, o servisteki “yatan hasta sayısı”na; “başka serviste yatarken taburcu olmadan bu servise gelip yatan hasta sayısı” dahil edilerek yazılmalıdır.</t>
  </si>
  <si>
    <t>Eğer bir Ana Dal veya Yan Dal‟ın yoğun bakım servisi varsa, bu serviste yapılan işlemler SADECE yoğun bakıma YAZILMALIDIR.</t>
  </si>
  <si>
    <t>Yoğun bakım yatak, yatılan gün, ölen hasta ve taburcu sayıları ilgili servislere eklenmemelidir.</t>
  </si>
  <si>
    <t>Servisten yoğun bakıma giden veyahut yoğun bakımdan bir üst seviye yoğun bakıma giden hasta, servisteki veya ilk yoğun bakım seviyesindeki taburcu alanında kesinlikle gösterilmemelidir.</t>
  </si>
  <si>
    <t>AMELİYATHANE HİZMETLERİ VERİLERİ</t>
  </si>
  <si>
    <t>Ameliyat verileri yazılırken ameliyat yapılan hasta sayısı değil yapılan ameliyat sayısı dikkate alınmalıdır. Aynı kişiye, aynı genel anestezi altında birden fazla yapılan ve ücrete tabii olan ameliyatların tümü ayrı ayrı formlarda gösterilmelidir.</t>
  </si>
  <si>
    <t>Acil servise başvurarak acil uzmanı tarafından ameliyat edilen hastalar, acil servis ameliyatı olarak gösterilmeli; ancak acil serviste başka bir uzmanlık dalından hekim nöbet sırasında hastayı ameliyat etmişse, hekimin bağlı olduğu servisin ameliyatı olarak girilmelidir.</t>
  </si>
  <si>
    <t>Sezeryan ameliyatı olan hasta sayıları, Kadın Hast. ve Doğum branşında ilgili ameliyat grubunda gösterilecektir.</t>
  </si>
  <si>
    <t>Ameliyatı yapılacak hastaların yatış türü günübirlik ya da normal yatış olarak yapılabilmektedir. Ameliyat sayısı girilirken bu hususa dikkat edilmelidir.</t>
  </si>
  <si>
    <t>A, B, C, D, E grubu ameliyat verilerine normal yatışı yapılan (En az 1 gece) hastanın ameliyat sayısı yazılmalıdır. Normal yatış ile yapılan A, B, C, D, E grubu ameliyat sayısı sadece A, B, C, D, E grubu ameliyat sayısı alanında yazılacak olup ayrıca günübirlik ameliyat içinde gösterilmemelidir.</t>
  </si>
  <si>
    <t>Günübirlik Ameliyat Sayısı: Kullanılan Hastane bilgi sisteminde tedavi türü “Günübirlik” (G) olarak seçilen 1 tam gece yatış yapılmadan taburcu olan hastalara uygulanan ameliyat sayısı yazılmalıdır. Günübirlik yapılan ameliyatlar “D, E Grubu Günübirlik Ameliyat Sayısı” ile “Diğer Günübirlik (A+B+C) Ameliyat Sayısı” alanlarına girilmeli, diğer ameliyat grupları alanına girilmemelidir.</t>
  </si>
  <si>
    <t>Günübirlik ameliyatlara yazılan veriler ayrıca başka yere yazılmamalıdır. Aynı ameliyat hem günübirlik hem de günübirlik olmayan ameliyat kısmına yazılamaz.</t>
  </si>
  <si>
    <t>Diğer Günübirlik (A+B+C) Ameliyat Sayısı: Günübirlik protokolü ile yapılan A, B, C grubu ameliyatlar diğer günübirlik ameliyatlara yazılmalıdır. Bu ameliyat sayısı A, B ve C grubu ameliyat sayısına dahil edilmemelidir. Medula servis yatış protokolüne göre yatırılan hastaların A-B-C grubu ameliyat sayısı bu alana girilmemelidir.</t>
  </si>
  <si>
    <t>Toplam ABC ameliyat sayısı:</t>
  </si>
  <si>
    <t>(A + B +C + Diğer Günübirlik (A+B+C) Ameliyat Olan Toplam Hasta Sayısı:)</t>
  </si>
  <si>
    <t>A, B, C, Diğer Günübirlik (A Günübirlik, B Günübirlik ve C Günübirlik) grubundaki ameliyat olan hasta sayısının toplamı girilmelidir. Hasta aynı anestezi altında birden fazla ameliyat geçirmiş ise en büyük olan ameliyat grubunda sayılmalıdır. Ameliyat olan hasta sayısı alınırken; • Hasta aynı anestezi altında birden fazla ameliyat geçirmiş ise ameliyat olan hasta sayısı 1 (bir) olarak alınmalıdır.</t>
  </si>
  <si>
    <t>Örneğin; D grubunda günübirlik yapılan bir ameliyat, D günübirlik ameliyat grubuna yazılmalı, D grubu ameliyat alanına yazılmamalıdır.</t>
  </si>
  <si>
    <t>USG, EKO, EMG, EKG, gasroskopi, kolonoskopi, bronskoskopi, sistoskopi, artroskopi, anjiyogrofi cihazları ile yapılan işlemler diğer tıbbi cihazlar sayfasındaki ilgili tetkik sayıları kısmına yazılmalıdır. Ayrıca laparoskopi, artroskopi, faco vb. gibi cihazlar ile yapılan işlemlerden girişimsel İşlemler ameliyat grup karşılığı olanlar ilgili branşın, ilgili ameliyat grubuna eklenecektir</t>
  </si>
  <si>
    <t>Veri alanlarına girilecek verisi olmayan kurumlar, bu alanlara “0” (sıfır) girmelidirler.</t>
  </si>
  <si>
    <t>YOĞUN BAKIM VERİLERİ</t>
  </si>
  <si>
    <t>Yoğun Bakım servislerinde verilen hizmetin kapasitesi, mevcut kapasitenin yeterli olup olmadığı ve birim performansının ölçülebilirliğinin sağlanabilmesi için Yoğun Bakım servisinin seviyesine ve uzmanlık dalına göre yatak sayısı, yatırılan hasta sayısı, yatak doluluk oranı, ortalama kalış süresi, ventilatöre bağlanan hasta sayısı ve süresi gibi istatistiklerin yoğun bakım servisi bazında tespit edilmesi ve bakanlığımızca yürütülmekte olan planlamalara ışık tutması bakımından önem arz etmektedir.</t>
  </si>
  <si>
    <t>Yoğun bakım servislerinin taşıması gereken fiziki şartlar, tıbbi donanım ve personel standartları, yoğun bakım yataklarının basamaklandırılması, nöbet esasları ve hizmetin işleyişine ilişkin usul ve esaslar ( güncellemeler de göz önüne bulundurularak) resmi gazetede yayınlanan Bakanlığımız tebliği dikkate alarak doldurulacaktır.</t>
  </si>
  <si>
    <t>Bu nedenle; Yoğun Bakım başlığı altında yer alan yoğun bakım verilerinin doğru, güvenilir ve eksiksiz olarak doldurulması gerekmektedir.</t>
  </si>
  <si>
    <t>Örnek 1: Sadece 1. basamak yoğun bakım yatağı var ise ventilatör sayısı, yatan hasta sayısı, yatılan gün sayısı gibi diğer veriler de 1. Basamağa girilecektir. 2. ve 3. Basamağa ait sütunlara “0” yazılmalıdır.</t>
  </si>
  <si>
    <t>Örnek 2: Yoğun bakım yatağı 2. ve 3. Basmakta ise diğer sütunlarda istenen bilgiler de 2. ve 3. Basamağa girilir. 1. Basmak verilerine “0” yazılmalıdır.</t>
  </si>
  <si>
    <t>Hastane veri seti formunda her yoğun bakım basamağı için ayrı ayrı olmak üzere; yatak sayısı, yatan hasta sayısı, yatılan gün sayısı, yatak doluluk oranı, ventilatör sayısı, ventilatöre bağlı kalınan gün sayısı, ventilatör kullanım oranı verileri girilmesi gerekmektedir.</t>
  </si>
  <si>
    <t>İlgili bölümde veri mevcut olmaması halinde boş bırakılmamalı bu alanlara “0” yazılmalıdır.</t>
  </si>
  <si>
    <t>Yoğun bakım yatan hasta sayısı ve yatılan gün sayısı gibi veriler; hastanın sağlık durumunun gerektirdiği şekilde, hastanın hangi basmamak yoğun bakım ihtiyacı olduğu ve yatışının yapıldığına göre değil, hastanın fiilen yatmakta olduğu yoğun bakım yatağının tescilinin hangi basamak olduğuna göre hesaplanmalıdır.</t>
  </si>
  <si>
    <t>Servisten Gelip Yoğun Bakımda Yatan Hasta Sayısı; geldiği servisin yatan hastası olarak kayıt altına alındığından, bu alandaki hastalar Hastaneniz toplam yatan hasta sayısına mükerrer dâhil edilmemelidir.</t>
  </si>
  <si>
    <t>Aynı zamanda servisten yoğun bakıma giden hasta, servisteki taburcu alanında kesinlikle gösterilmemelidir.</t>
  </si>
  <si>
    <t>Yoğun Bakıma Direkt Yatan Hasta Sayısı (Servisten Gelmeden); basamaklarına göre girilmelidir. Yoğun bakımdaki bu alana yazılan yatan hasta sayısı direkt yoğun bakım servisine yatırıldığından hastanenizin toplam yatan hasta sayısı dâhil edilmelidir.</t>
  </si>
  <si>
    <t>Ayrıca, diğer kurumlardan sevk edilen hastalar başka servise yatışı yapılmadan direkt yoğun bakım servisine yatırıldı ise bu hastalar da “Yoğun Bakıma Direk Yatan Hasta Sayısı” alanına dâhil edilmelidir.</t>
  </si>
  <si>
    <t>Yoğun Bakımdan Servise Çıkan Hasta Sayısı; yoğun bakım servisinde tedavisi tamamlanarak servise gönderilen hastalara ait veriler hastanenizin toplam taburcu sayısına dâhil edilmemelidir. Ancak Yoğun bakım hizmet raporunda, yoğun bakım hasta kalış sürelerinin doğru hesaplanabilmesi için bu alan yoğun bakım çıkan hastasına dâhil edilmelidir.</t>
  </si>
  <si>
    <t>Yoğun Bakımdan Direkt Taburcu Olan Hasta Sayısı; yoğun bakım servisinden diğer servislere gitmeden, direk taburcu olan hasta sayısı bu alana eklenmelidir. Ayrıca Yoğun bakımdan sevk edilen hastalar da hem Yoğun bakım verileri hesaplanırken yoğun bakımdan çıkan hasta sayısında hem de hastaneniz genel verileri hesaplanırken hastanenizin toplam taburcu sayısına mükerrer olmamak suretiyle hesaplamalara dâhil edilmelidir.</t>
  </si>
  <si>
    <t>Yoğun Bakımda Ölen Hasta Sayısı; bu alana, sadece yoğun bakımda ölen hasta sayısı girilmelidir. Yoğun bakımda ölen hasta sayıları ayrıca ilgili servise yazılmamalıdır.</t>
  </si>
  <si>
    <t>Yoğun bakım yataklarını, Bakanlıkça tescil edilmiş basamak (1. basamak, 2. basamak ve 3. basamak) ve o basamaktaki yatak sayısını esas alarak giriniz. Henüz tescil işlemi tamamlanmamış yoğun bakımlar için (tescil işlemleri tamamlanana kadar) varsayılan basamak ve o basamaktaki mevcut yatak sayısı girilecektir. Yoğun bakım yatak sayıları, ayrıca ilgili servise yazılmamalıdır. Yoğun bakım yatak sayısını forma girerken, yatak hangi basamağa girilmiş ise, diğer sütunlarda istenen; ventilatör sayısı, yatılan gün sayısı, yatan hasta sayısı ve benzeri veriler de yoğun bakım yatak sayısının ait olduğu basamağa girilecektir.</t>
  </si>
  <si>
    <t>Yoğun Bakımdan Diğer Kurumlara Sevk Edilen Hasta Sayısı; ilgili yoğun bakımın taburcu sayısına, dolayısıyla da hastaneniz genel taburcu sayısına mükerrer olmamak suretiyle eklenmelidir.</t>
  </si>
  <si>
    <t>Diğer Kurumlardan Direkt Olarak Yoğun Bakıma Alınan Hasta Sayısı; Bu hastaların ayrıca seviyelerine göre ilgili yoğun bakımın “yoğun bakıma yatan hasta sayısı “ ve dolayısıyla “hastaneniz toplam yatan hasta sayısı” alanlarına da dâhil edilmesi gerekmektedir.</t>
  </si>
  <si>
    <t>Yoğun Bakım Yatılan Gün Sayısı; veri girilen dönem içinde, hangi nedenle olursa olsun yoğun bakımdan çıkan (servise çıkan, taburcu olan, başka kuruma sevk edilen, başka kurumdan gelip yatan, ölen) ve halen yatan hastaların yatılan günlerinin toplamı yazılmalıdır.</t>
  </si>
  <si>
    <t>Örneğin; 5 Haziran 2014 de yoğun bakıma yatan ve 30 Haziran 2014 itibariyle de yoğun bakımda yatmaya devam eden hasta için, yatılan gün sayısına 26 (30-5+1) eklenmelidir. Eğer bu hasta 30 Haziranda 2014 tarihinde taburcu oldu ise, yatılan gün sayısına, 25 (30-5) eklenmelidir. (Hasta Taburcu olduğundan, taburcu olduğu gün sayılmamalıdır.)</t>
  </si>
  <si>
    <t>Bir hasta için yoğun bakım servisinde, basamaklar veya diğer yoğun bakımlar arasında geçiş yapılmış ise, her basamağın veya geçiş yapıldığı ilgili yoğun bakıma ait veriler ayrı ayrı girilecektir.</t>
  </si>
  <si>
    <t>Örnek 1: Bir hasta 3. basamak yoğun bakımda 5 gün yatarken, 1. basamak yoğun bakıma transfer edilerek 3 gün de bu basamakta yatırılıp normal kliniğe çıkışı yapılmış ise form üzerinde uygulanacak işlem şu şekildedir; 3. basamak sütununda 5 günlük veri ait olduğu sütuna girilir, 1.basamağa ait 3 günlük veri ise ayrı olarak ait olduğu basmaktaki sütuna girilir.</t>
  </si>
  <si>
    <t>YOĞUN BAKIM DİĞER DONANIMLAR</t>
  </si>
  <si>
    <t>Yoğun Bakımda Kullanılan Diyaliz Cihaz Sayısı: Sadece yoğun bakım servisinde kullanılan diyaliz cihazları girilmelidir.</t>
  </si>
  <si>
    <t>Yoğun Bakımda Bulunan Transport Ventilatör Sayısı: Bu alana yoğun bakımlarda düzenli olarak kullanılan transport ventilatörlerin tamamı yazılmalıdır.</t>
  </si>
  <si>
    <t>Yoğun Bakımda Bulunan Mekanik Ventilatör Sayısı: Bu alana yoğun bakımda bulunan mekanik ventilatörler (HEK ayrılmamış ya da HEK işlemi başlatılmamış ventilatörler )girilecek olup arızalı olan ventilatörler de dahil edilmelidir. Bu alana sadece ventilatörler girilecek olup anestezi cihazları dahil edilmemelidir.</t>
  </si>
  <si>
    <t>Ventilatöre Bağlanan Hasta Sayısı; bu alana Yoğun bakımda yatarken ventilatöre bağlanan hastaların sayısı yazılmalıdır.</t>
  </si>
  <si>
    <t>Ventilatöre Bağlı Kalınan Gün Sayısı; bu alana hastanın yoğun bakımda ventilatöre bağlı kaldığı günlerin toplamı yazılmalıdır. Ventilatöre bağlanan bir hasta gün içinde belirli bir süre veya aralıklı olarak kaç saat bağlı kalırsa kalsın 1 gün olarak yazılacaktır.</t>
  </si>
  <si>
    <t>Örneğin: Bir hasta ventilatöre gün içinde aralıklı olarak ister 1 saat isterse 5 saat bağlanmış olsun, bu sütuna 1 gün şeklinde girilecektir.</t>
  </si>
  <si>
    <r>
      <rPr>
        <b/>
        <sz val="11"/>
        <color theme="1"/>
        <rFont val="Calibri"/>
        <family val="2"/>
        <charset val="162"/>
        <scheme val="minor"/>
      </rPr>
      <t>Genel Toplam Muayene Sayısı</t>
    </r>
    <r>
      <rPr>
        <sz val="11"/>
        <color theme="1"/>
        <rFont val="Calibri"/>
        <family val="2"/>
        <scheme val="minor"/>
      </rPr>
      <t xml:space="preserve"> (ACİL+POL+DİŞ+TÜMÜ): Kılavuzda hariç edilmesi belirtilen girişler hariç (enjeksiyon, kontrol muay. Radyoloji vb.) tüm muayenelerin sayısını ifade eder.</t>
    </r>
  </si>
  <si>
    <r>
      <rPr>
        <b/>
        <sz val="11"/>
        <color theme="1"/>
        <rFont val="Calibri"/>
        <family val="2"/>
        <charset val="162"/>
        <scheme val="minor"/>
      </rPr>
      <t>Toplam Diş Muayene Sayısı:</t>
    </r>
    <r>
      <rPr>
        <sz val="11"/>
        <color theme="1"/>
        <rFont val="Calibri"/>
        <family val="2"/>
        <scheme val="minor"/>
      </rPr>
      <t xml:space="preserve"> Ağız Diş Hizmetleri tüm muayene sayılarını ifade eder. Kurumunuzda Ağız Diş Hizmetleri mevcut değilse “0” yazılmalıdır.</t>
    </r>
  </si>
  <si>
    <r>
      <rPr>
        <b/>
        <sz val="11"/>
        <color theme="1"/>
        <rFont val="Calibri"/>
        <family val="2"/>
        <charset val="162"/>
        <scheme val="minor"/>
      </rPr>
      <t xml:space="preserve">Toplam Muayene Sayısı </t>
    </r>
    <r>
      <rPr>
        <sz val="11"/>
        <color theme="1"/>
        <rFont val="Calibri"/>
        <family val="2"/>
        <scheme val="minor"/>
      </rPr>
      <t>(Acil dahil Diş hariç): Sadece polikliniklerde verilen muayeneleri ifade eder. Toplam Poliklinik Muayene Sayısı ve Toplam Acil Muayene sayısının toplamına eşit olması gerekmektedir.</t>
    </r>
  </si>
  <si>
    <r>
      <rPr>
        <b/>
        <sz val="11"/>
        <color theme="1"/>
        <rFont val="Calibri"/>
        <family val="2"/>
        <charset val="162"/>
        <scheme val="minor"/>
      </rPr>
      <t>Klinisyen Hekim:</t>
    </r>
    <r>
      <rPr>
        <sz val="11"/>
        <color theme="1"/>
        <rFont val="Calibri"/>
        <family val="2"/>
        <scheme val="minor"/>
      </rPr>
      <t xml:space="preserve"> Ayaktan veya yataklı hizmet birimlerinde hastaya doğrudan temas eden hasta bakan tanı koyan poliklinik hizmeti veren hekimleri ifade eder. Temel tıp bilimleri branşları, laboratuvar hizmetleri ve yönetici kadrosu bu sayının dışındadır.</t>
    </r>
  </si>
  <si>
    <t>(TÜİK 2025 Sonu Adrese Dayalı Nüfus Kayıt Sistemi verilerine göre 2.777.677 olarak duyurulmuştur.)</t>
  </si>
  <si>
    <r>
      <rPr>
        <b/>
        <sz val="11"/>
        <color theme="1"/>
        <rFont val="Calibri"/>
        <family val="2"/>
        <charset val="162"/>
        <scheme val="minor"/>
      </rPr>
      <t>Klinisyen Hekim Başına Düşen Nüfus:</t>
    </r>
    <r>
      <rPr>
        <sz val="11"/>
        <color theme="1"/>
        <rFont val="Calibri"/>
        <family val="2"/>
        <charset val="162"/>
        <scheme val="minor"/>
      </rPr>
      <t xml:space="preserve"> </t>
    </r>
    <r>
      <rPr>
        <sz val="11"/>
        <color theme="1"/>
        <rFont val="Calibri"/>
        <family val="2"/>
        <scheme val="minor"/>
      </rPr>
      <t>TÜİK Son Açıklanan Antalya Nüfusuna Göre bir klinisyen hekime düşen nüfus dilimini ifade eder. [ (TÜİK’in resmi olarak son açıklanan Antalya Nüfusu) / (Klinisyen Hekim (Prof,Doç,Dr.Öğr.Üy.Öğr.Gör.Uzman,Ast,Prt.) Sayısı) ]</t>
    </r>
  </si>
  <si>
    <t>[Toplam Muayene Sayısı (Acil+Pol) x 1000] / TÜİK’in resmi olarak son açıklanan Antalya Nüfusu</t>
  </si>
  <si>
    <r>
      <rPr>
        <b/>
        <sz val="11"/>
        <color theme="1"/>
        <rFont val="Calibri"/>
        <family val="2"/>
        <charset val="162"/>
        <scheme val="minor"/>
      </rPr>
      <t xml:space="preserve">Kişi Başı Hekime Müracaat Sayısı: </t>
    </r>
    <r>
      <rPr>
        <sz val="11"/>
        <color theme="1"/>
        <rFont val="Calibri"/>
        <family val="2"/>
        <scheme val="minor"/>
      </rPr>
      <t>Ağız Diş Muayene Sayısı hariç Toplam Muayene Sayısının Nüfusun 1/1000 lik kısmına düşen muayene sayısı olarak hesaplanır.</t>
    </r>
  </si>
  <si>
    <r>
      <rPr>
        <b/>
        <sz val="11"/>
        <color theme="1"/>
        <rFont val="Calibri"/>
        <family val="2"/>
        <charset val="162"/>
        <scheme val="minor"/>
      </rPr>
      <t>Bakılan Hasta Niteliği:</t>
    </r>
    <r>
      <rPr>
        <sz val="11"/>
        <color theme="1"/>
        <rFont val="Calibri"/>
        <family val="2"/>
        <scheme val="minor"/>
      </rPr>
      <t xml:space="preserve"> SGK kapsamında, SGK kapsamı dışında bakılan hasta muayene sayıları ve Yabancı Hasta muayene sayıları istatistik amaçlı istenmekte olup bu sayıların toplamından muayene sayıları karşılaştırma veya teyit işlemi yapılmamalıdır. Toplam Muayene sayılarına mükerrer olarak eklenmemelidir</t>
    </r>
  </si>
  <si>
    <r>
      <rPr>
        <b/>
        <sz val="11"/>
        <color theme="1"/>
        <rFont val="Calibri"/>
        <family val="2"/>
        <charset val="162"/>
        <scheme val="minor"/>
      </rPr>
      <t>Toplam Acil Muayene Sayısı:</t>
    </r>
    <r>
      <rPr>
        <sz val="11"/>
        <color theme="1"/>
        <rFont val="Calibri"/>
        <family val="2"/>
        <scheme val="minor"/>
      </rPr>
      <t xml:space="preserve"> Acil Servis’te renk kodlarına göre ayrılmış olan tüm alanlarda verilen hizmete dair muayene sayılarını ifade eder. Alanlara ayrılmış şekilde ayrıca istenmektedir. Yeşil Alan, Sarı Alan ve Kırmızı Alan muayane sayıları Toplamı Toplam Acil Muayene Sayısı’na eşit olmalıdır</t>
    </r>
  </si>
  <si>
    <r>
      <rPr>
        <b/>
        <sz val="11"/>
        <color theme="1"/>
        <rFont val="Calibri"/>
        <family val="2"/>
        <charset val="162"/>
        <scheme val="minor"/>
      </rPr>
      <t>Acil Yeşil/Sarı/Kırmızı Alan Muayene Oranı:</t>
    </r>
    <r>
      <rPr>
        <sz val="11"/>
        <color theme="1"/>
        <rFont val="Calibri"/>
        <family val="2"/>
        <scheme val="minor"/>
      </rPr>
      <t xml:space="preserve"> Münferit Yeşil/Sarı/Kırmızı Alan Muayene Sayısı/ Toplam Acil Muayene Sayısı</t>
    </r>
  </si>
  <si>
    <r>
      <rPr>
        <b/>
        <sz val="11"/>
        <color theme="1"/>
        <rFont val="Calibri"/>
        <family val="2"/>
        <charset val="162"/>
        <scheme val="minor"/>
      </rPr>
      <t>Toplam Poliklinik Muayene Sayısı:</t>
    </r>
    <r>
      <rPr>
        <sz val="11"/>
        <color theme="1"/>
        <rFont val="Calibri"/>
        <family val="2"/>
        <scheme val="minor"/>
      </rPr>
      <t xml:space="preserve"> Dahili veya Cerrahi Branşlara ait tüm polikliniklerde verilen hizmete dair muayene sayılarını ifade eder. Dahili ve Cerrahi muayene sayıları Toplam Muayene Sayısına eşit olmalıdır.</t>
    </r>
  </si>
  <si>
    <r>
      <rPr>
        <b/>
        <sz val="11"/>
        <color theme="1"/>
        <rFont val="Calibri"/>
        <family val="2"/>
        <charset val="162"/>
        <scheme val="minor"/>
      </rPr>
      <t>Dahili Branş Muayene Sayıları:</t>
    </r>
    <r>
      <rPr>
        <sz val="11"/>
        <color theme="1"/>
        <rFont val="Calibri"/>
        <family val="2"/>
        <scheme val="minor"/>
      </rPr>
      <t xml:space="preserve"> Ek 1’deki listeye göre Dahili Branşlara ait polikliniklerde verilen hizmete dair muayene sayılarını ifade eder.</t>
    </r>
  </si>
  <si>
    <t>CERRAHİ KLİNİSYEN BRANŞLARIN LİSTESİ</t>
  </si>
  <si>
    <t>1. Ağız Yüz ve Çene Cerrahisi</t>
  </si>
  <si>
    <t>2. Beyin ve Sinir Cerrahisi</t>
  </si>
  <si>
    <t>3. Çocuk Cerrahisi</t>
  </si>
  <si>
    <t>4. Genel Cerrahi</t>
  </si>
  <si>
    <t>5. Göğüs Cerrahisi</t>
  </si>
  <si>
    <t>6. Göz Hastalıkları</t>
  </si>
  <si>
    <t>7. Kadın Hastalıkları ve Doğum</t>
  </si>
  <si>
    <t>8. Kalp Damar Cerrahisi</t>
  </si>
  <si>
    <t>9. Kulak Burun Boğaz Hastalıkları</t>
  </si>
  <si>
    <t>10. Ortopedi ve Travmatoloji</t>
  </si>
  <si>
    <t>11. Plastik, Rekonstrüktif ve Estetik Cerrahi</t>
  </si>
  <si>
    <t>12. Üroloji</t>
  </si>
  <si>
    <t>13. Periferik Damar Cerrahisi</t>
  </si>
  <si>
    <t>14. El Cerrahisi</t>
  </si>
  <si>
    <t>15. Gastroenteroloji Cerrahisi</t>
  </si>
  <si>
    <t>16. Perinatoloji</t>
  </si>
  <si>
    <t>17. Cerrahi Onkoloji</t>
  </si>
  <si>
    <t>18. Çocuk Kalp ve Damar Cerrahisi</t>
  </si>
  <si>
    <t>19. Çocuk Ürolojisi</t>
  </si>
  <si>
    <t>20. Jinekolojik Onkoloji Cerrahisi</t>
  </si>
  <si>
    <t>DAHİLİ KLİNİSYEN BRANŞLARIN LİSTESİ</t>
  </si>
  <si>
    <t>1. Adli Tıp</t>
  </si>
  <si>
    <t>2. Aile Hekimliği</t>
  </si>
  <si>
    <t>3. Anesteziyoloji ve Reanimasyon</t>
  </si>
  <si>
    <t>4. Çocuk ve Ergen Ruh Sağlığı ve Hastalıkları</t>
  </si>
  <si>
    <t>5. Çocuk Sağlığı ve Hastalıkları</t>
  </si>
  <si>
    <t>6. Deri ve Zührevi Hastalıklar</t>
  </si>
  <si>
    <t>7. Enfeksiyon Hastalıkları ve Klinik Mikrobiyoloji</t>
  </si>
  <si>
    <t>8. Fiziksel Tıp ve Rehabilitasyon</t>
  </si>
  <si>
    <t>9. Göğüs Hastalıkları</t>
  </si>
  <si>
    <t>10. İç Hastalıkları</t>
  </si>
  <si>
    <t>11. Kardiyoloji</t>
  </si>
  <si>
    <t>12. Nöroloji</t>
  </si>
  <si>
    <t>13. Radyasyon Onkolojisi</t>
  </si>
  <si>
    <t>14. Ruh Sağlığı ve Hastalıkları</t>
  </si>
  <si>
    <t>15. Spor Hekimliği</t>
  </si>
  <si>
    <t>16. Sualtı Hekimliği ve Hiperbarik Tıp</t>
  </si>
  <si>
    <t>17. Algoloji</t>
  </si>
  <si>
    <t>18. Çocuk Endokrinolojisi</t>
  </si>
  <si>
    <t>19. Çocuk Enfeksiyon Hastalıkları</t>
  </si>
  <si>
    <t>20. Çocuk Gastroenterolojisi</t>
  </si>
  <si>
    <t>21. Çocuk Genetik Hastalıkları</t>
  </si>
  <si>
    <t>22. Çocuk Göğüs Hastalıkları</t>
  </si>
  <si>
    <t>23. Çocuk Hematolojisi ve Onkoloji</t>
  </si>
  <si>
    <t>24. Çocuk İmmunolojisi ve Alerji Hastalıkları</t>
  </si>
  <si>
    <t>25. Çocuk Kardiyolojisi</t>
  </si>
  <si>
    <t>26. Çocuk Metabolizma Hastalıkları</t>
  </si>
  <si>
    <t>27. Çocuk Nefrolojisi</t>
  </si>
  <si>
    <t>28. Çocuk Nörolojisi</t>
  </si>
  <si>
    <t>29. Çocuk Romatolojisi</t>
  </si>
  <si>
    <t>30. Endokrin ve Metabolizma Hastalıkları</t>
  </si>
  <si>
    <t>31. Gastroenteroloji</t>
  </si>
  <si>
    <t>32. Geriatri</t>
  </si>
  <si>
    <t>33. Hematoloji</t>
  </si>
  <si>
    <t>34. İmmünoloji ve Alerji Hastalıkları</t>
  </si>
  <si>
    <t>35. İş ve Meslek Hastalıkları</t>
  </si>
  <si>
    <t>36. Klinik Nörofizyoloji</t>
  </si>
  <si>
    <t>37. Nefroloji</t>
  </si>
  <si>
    <t>38. Neonatoloji</t>
  </si>
  <si>
    <t>39. Romatoloji</t>
  </si>
  <si>
    <t>40. Tıbbi Onkoloji</t>
  </si>
  <si>
    <t>41. Tıbbi Genetik</t>
  </si>
  <si>
    <t>KLİNİSYEN OLMAYAN BRANŞLARIN LİSTESİ</t>
  </si>
  <si>
    <t>1. Farmakoloji</t>
  </si>
  <si>
    <t>2. Anatomi</t>
  </si>
  <si>
    <t>3. Fizyoloji</t>
  </si>
  <si>
    <t>4. Patoloji</t>
  </si>
  <si>
    <t>5. Tıbbi Biyokimya</t>
  </si>
  <si>
    <t>6. Tıbbi Mikrobiyoloji</t>
  </si>
  <si>
    <t>7. Acil</t>
  </si>
  <si>
    <t>8. Çocuk Acil</t>
  </si>
  <si>
    <t>9. Halk Sağlığı</t>
  </si>
  <si>
    <t>10. Nükleer Tıp</t>
  </si>
  <si>
    <t>11. Radyoloji</t>
  </si>
  <si>
    <r>
      <rPr>
        <b/>
        <sz val="11"/>
        <color theme="1"/>
        <rFont val="Calibri"/>
        <family val="2"/>
        <charset val="162"/>
        <scheme val="minor"/>
      </rPr>
      <t>Cerrahi Branş Muayene Sayıları:</t>
    </r>
    <r>
      <rPr>
        <sz val="11"/>
        <color theme="1"/>
        <rFont val="Calibri"/>
        <family val="2"/>
        <scheme val="minor"/>
      </rPr>
      <t xml:space="preserve"> Ek 1’deki listeye göre Cerrahi Branşlara ait polikliniklerde verilen hizmete dair muayene sayılarını ifade eder.</t>
    </r>
  </si>
  <si>
    <r>
      <rPr>
        <b/>
        <sz val="11"/>
        <color theme="1"/>
        <rFont val="Calibri"/>
        <family val="2"/>
        <charset val="162"/>
        <scheme val="minor"/>
      </rPr>
      <t>Poliklinik Oda Sayısı:</t>
    </r>
    <r>
      <rPr>
        <sz val="11"/>
        <color theme="1"/>
        <rFont val="Calibri"/>
        <family val="2"/>
        <scheme val="minor"/>
      </rPr>
      <t xml:space="preserve"> Fiilen aktif poliklinik odası sayısını ifade eder. Aylık olarak tabloda belirtilmesi gerekmektedir.</t>
    </r>
  </si>
  <si>
    <t>Poliklinik E-reçete Oranı: Poliklinik E- reçete Sayısı/ Toplam Poliklinik Reçete Sayısı</t>
  </si>
  <si>
    <t>Poliklinik Manuel reçete Oranı: Poliklinik Manuel reçete Sayısı/ Toplam Poliklinik Reçete Sayısı</t>
  </si>
  <si>
    <t>Acil E-reçete Oranı: Acil E- reçete Sayısı/ Toplam Acil Reçete Sayısı</t>
  </si>
  <si>
    <t>Acil Manuel reçete Oranı: Acil Manuel reçete Sayısı/ Toplam Acil Reçete Sayısı</t>
  </si>
  <si>
    <r>
      <rPr>
        <b/>
        <sz val="11"/>
        <color theme="1"/>
        <rFont val="Calibri"/>
        <family val="2"/>
        <charset val="162"/>
        <scheme val="minor"/>
      </rPr>
      <t xml:space="preserve">Poliklinikte ve Acil Serviste Yazılan E- Reçete ve Manuel Reçete Sayıları </t>
    </r>
    <r>
      <rPr>
        <sz val="11"/>
        <color theme="1"/>
        <rFont val="Calibri"/>
        <family val="2"/>
        <scheme val="minor"/>
      </rPr>
      <t>ile E reçete ve Manuel Reçete Oranları ayrı ayrı tabloya yazılmalı ve bu sayılar tutarlı olmalıdır.</t>
    </r>
  </si>
  <si>
    <r>
      <rPr>
        <b/>
        <sz val="11"/>
        <color theme="1"/>
        <rFont val="Calibri"/>
        <family val="2"/>
        <charset val="162"/>
        <scheme val="minor"/>
      </rPr>
      <t>Yatan Hasta Sayısı:</t>
    </r>
    <r>
      <rPr>
        <sz val="11"/>
        <color theme="1"/>
        <rFont val="Calibri"/>
        <family val="2"/>
        <scheme val="minor"/>
      </rPr>
      <t xml:space="preserve"> Belirtilen dönem içinde yatışı yapılan hastalar yazılacak olup günübirlik hastalar bu alana dâhil edilmemelidir. Ayrıca geçmiş aydan taburcu olmamış olan yatan hastalar bir sonraki ayın yatan hasta sayısı alanına dahil edilmemelidir.</t>
    </r>
  </si>
  <si>
    <r>
      <rPr>
        <b/>
        <sz val="11"/>
        <color theme="1"/>
        <rFont val="Calibri"/>
        <family val="2"/>
        <charset val="162"/>
        <scheme val="minor"/>
      </rPr>
      <t xml:space="preserve">Poliklinikten Hasta Yatış Oranı: </t>
    </r>
    <r>
      <rPr>
        <sz val="11"/>
        <color theme="1"/>
        <rFont val="Calibri"/>
        <family val="2"/>
        <scheme val="minor"/>
      </rPr>
      <t>Poliklinikten Yatan Hasta Sayısı/ Toplam Poliklinik Muayene Sayısı</t>
    </r>
  </si>
  <si>
    <r>
      <rPr>
        <b/>
        <sz val="11"/>
        <color theme="1"/>
        <rFont val="Calibri"/>
        <family val="2"/>
        <charset val="162"/>
        <scheme val="minor"/>
      </rPr>
      <t xml:space="preserve">Acilden Hasta Yatış Oranı: </t>
    </r>
    <r>
      <rPr>
        <sz val="11"/>
        <color theme="1"/>
        <rFont val="Calibri"/>
        <family val="2"/>
        <scheme val="minor"/>
      </rPr>
      <t>Acilden Yatan Hasta Sayısı/Toplam Acil Muayene Sayısı</t>
    </r>
  </si>
  <si>
    <r>
      <rPr>
        <b/>
        <sz val="11"/>
        <color theme="1"/>
        <rFont val="Calibri"/>
        <family val="2"/>
        <charset val="162"/>
        <scheme val="minor"/>
      </rPr>
      <t>Genel Hasta Yatış Oranı:</t>
    </r>
    <r>
      <rPr>
        <sz val="11"/>
        <color theme="1"/>
        <rFont val="Calibri"/>
        <family val="2"/>
        <scheme val="minor"/>
      </rPr>
      <t xml:space="preserve"> Toplam Yatan Hasta Sayısı / Toplam Muayene Sayısı (Acil+Pol)</t>
    </r>
  </si>
  <si>
    <r>
      <rPr>
        <b/>
        <sz val="11"/>
        <color theme="1"/>
        <rFont val="Calibri"/>
        <family val="2"/>
        <charset val="162"/>
        <scheme val="minor"/>
      </rPr>
      <t xml:space="preserve">Poliklinikten Yatan Hasta Oranı: </t>
    </r>
    <r>
      <rPr>
        <sz val="11"/>
        <color theme="1"/>
        <rFont val="Calibri"/>
        <family val="2"/>
        <scheme val="minor"/>
      </rPr>
      <t>Poliklinikten Yatan Hasta Sayısı/ Toplam Yatan Hasta Sayısı</t>
    </r>
  </si>
  <si>
    <r>
      <rPr>
        <b/>
        <sz val="11"/>
        <color theme="1"/>
        <rFont val="Calibri"/>
        <family val="2"/>
        <charset val="162"/>
        <scheme val="minor"/>
      </rPr>
      <t xml:space="preserve">Acilden Yatan Hasta Oranı: </t>
    </r>
    <r>
      <rPr>
        <sz val="11"/>
        <color theme="1"/>
        <rFont val="Calibri"/>
        <family val="2"/>
        <scheme val="minor"/>
      </rPr>
      <t>Acilden Yatan Hasta Sayısı / Toplam Yatan Hasta Sayısı</t>
    </r>
  </si>
  <si>
    <r>
      <rPr>
        <b/>
        <sz val="11"/>
        <color theme="1"/>
        <rFont val="Calibri"/>
        <family val="2"/>
        <charset val="162"/>
        <scheme val="minor"/>
      </rPr>
      <t>Toplam Taburcu Sayısı:</t>
    </r>
    <r>
      <rPr>
        <sz val="11"/>
        <color theme="1"/>
        <rFont val="Calibri"/>
        <family val="2"/>
        <scheme val="minor"/>
      </rPr>
      <t xml:space="preserve"> Şifa haliyle, kendi isteği ile hastaneden ayrılan veya başka hastanelere sevk edilen hastaların toplamı yazılmalıdır. Hastane içinde başka servise gönderilen hastalar bu alana yazılmamalıdır. Ayrıca günübirlik hasta olup çıkış işlemi yapılan hastalar bu alana kesinlikle eklenmemelidir. Servisten yoğun bakıma nakil giden hasta, servisteki taburcu alanında kesinlikle gösterilmemelidir.</t>
    </r>
  </si>
  <si>
    <r>
      <rPr>
        <b/>
        <sz val="11"/>
        <color theme="1"/>
        <rFont val="Calibri"/>
        <family val="2"/>
        <charset val="162"/>
        <scheme val="minor"/>
      </rPr>
      <t xml:space="preserve">Acil Serviste Ölen Sayısı: </t>
    </r>
    <r>
      <rPr>
        <sz val="11"/>
        <color theme="1"/>
        <rFont val="Calibri"/>
        <family val="2"/>
        <scheme val="minor"/>
      </rPr>
      <t>Hastanenin acil servisine canlı olarak gelip her türlü müdahalelerden sonra acilde ölümü gerçekleşen ayrıca acil servise ölü olarak girişi yapılan müdahale sonrasında yaşama dönen ve bir süre sonra tekrar ex olanların sayısı yazılmalıdır. Veri girişi yapılırken acildeki ölümlerin içine EX Duhuller dahil edilmeyecektir.</t>
    </r>
  </si>
  <si>
    <r>
      <rPr>
        <b/>
        <sz val="11"/>
        <color theme="1"/>
        <rFont val="Calibri"/>
        <family val="2"/>
        <charset val="162"/>
        <scheme val="minor"/>
      </rPr>
      <t>Tescilli Yatak Sayısı:</t>
    </r>
    <r>
      <rPr>
        <sz val="11"/>
        <color theme="1"/>
        <rFont val="Calibri"/>
        <family val="2"/>
        <scheme val="minor"/>
      </rPr>
      <t xml:space="preserve"> Kuruluşun ruhsatında kayıtlı ve Sağlık Bakanlığınca tescillenmiş yatak sayıları yazılmalıdır.</t>
    </r>
  </si>
  <si>
    <r>
      <rPr>
        <b/>
        <sz val="11"/>
        <color theme="1"/>
        <rFont val="Calibri"/>
        <family val="2"/>
        <charset val="162"/>
        <scheme val="minor"/>
      </rPr>
      <t xml:space="preserve">Fiili Yatak Sayısı: </t>
    </r>
    <r>
      <rPr>
        <sz val="11"/>
        <color theme="1"/>
        <rFont val="Calibri"/>
        <family val="2"/>
        <scheme val="minor"/>
      </rPr>
      <t>Belirli bir tarihte veya dönemde fiilen hizmet sunumunda kullanılan, hasta kabulüne açık ve faal olan yatakların toplamı yazılmalıdır.</t>
    </r>
  </si>
  <si>
    <r>
      <rPr>
        <b/>
        <sz val="11"/>
        <color theme="1"/>
        <rFont val="Calibri"/>
        <family val="2"/>
        <charset val="162"/>
        <scheme val="minor"/>
      </rPr>
      <t xml:space="preserve">Nitelikli Yatak Oranı: </t>
    </r>
    <r>
      <rPr>
        <sz val="11"/>
        <color theme="1"/>
        <rFont val="Calibri"/>
        <family val="2"/>
        <scheme val="minor"/>
      </rPr>
      <t>Kurumun toplam yatak sayısı içinde WC’li ve duşlu, 1 ve 2 yataklı odalarda bulunan yatak sayısının oranını ifade etmektedir (Nitelikli Yatak Sayısı/ Tescilli Yatak Sayısı)</t>
    </r>
  </si>
  <si>
    <r>
      <rPr>
        <b/>
        <sz val="11"/>
        <color theme="1"/>
        <rFont val="Calibri"/>
        <family val="2"/>
        <charset val="162"/>
        <scheme val="minor"/>
      </rPr>
      <t>Hastaneniz Yatak Doluluk Oranı (YB Dahil):</t>
    </r>
    <r>
      <rPr>
        <sz val="11"/>
        <color theme="1"/>
        <rFont val="Calibri"/>
        <family val="2"/>
        <scheme val="minor"/>
      </rPr>
      <t xml:space="preserve"> (Yatılan Gün Sayısı x 100) / (Fiili Yatak sayısı x belirtilen zaman dilimindeki takvim günü)</t>
    </r>
  </si>
  <si>
    <t>DÖNEM</t>
  </si>
  <si>
    <t>2026-01</t>
  </si>
  <si>
    <t>Dönem Gün Sayısı</t>
  </si>
  <si>
    <r>
      <rPr>
        <b/>
        <sz val="11"/>
        <color theme="1"/>
        <rFont val="Calibri"/>
        <family val="2"/>
        <charset val="162"/>
        <scheme val="minor"/>
      </rPr>
      <t>Hastaneniz Yatak Doluluk Oranı (YB Hariç)</t>
    </r>
    <r>
      <rPr>
        <sz val="11"/>
        <color theme="1"/>
        <rFont val="Calibri"/>
        <family val="2"/>
        <scheme val="minor"/>
      </rPr>
      <t>: [(Yatılan Gün Sayısı-YB yatılan gün sayısı) x 100] / [(Fiili Yatak sayısı-YB fiili yatak sayısı) x belirtilen zaman dilimindeki takvim günü]</t>
    </r>
  </si>
  <si>
    <r>
      <rPr>
        <b/>
        <sz val="11"/>
        <color theme="1"/>
        <rFont val="Calibri"/>
        <family val="2"/>
        <charset val="162"/>
        <scheme val="minor"/>
      </rPr>
      <t>Ortalama Kalış Günü:</t>
    </r>
    <r>
      <rPr>
        <sz val="11"/>
        <color theme="1"/>
        <rFont val="Calibri"/>
        <family val="2"/>
        <scheme val="minor"/>
      </rPr>
      <t xml:space="preserve"> Bir hastanın hastanede kaldığı ortalama gün sayısını göstermektedir. (Yatılan Gün Sayısı) / (Taburcu + Ölen Kişi Sayısı) şeklinde hesaplanır.</t>
    </r>
  </si>
  <si>
    <r>
      <rPr>
        <b/>
        <sz val="11"/>
        <color theme="1"/>
        <rFont val="Calibri"/>
        <family val="2"/>
        <charset val="162"/>
        <scheme val="minor"/>
      </rPr>
      <t xml:space="preserve">Yatak Devir Aralığı: </t>
    </r>
    <r>
      <rPr>
        <sz val="11"/>
        <color theme="1"/>
        <rFont val="Calibri"/>
        <family val="2"/>
        <scheme val="minor"/>
      </rPr>
      <t>Bir hasta yatağının kaç gün boş kaldığını göstermektedir. (Yatak Sayısı x belirtilen zaman dilimindeki takvim günü – Yatılan Gün Sayısı) / (Taburcu + Ölen Kişi Sayısı) şeklinde hesaplanır.</t>
    </r>
  </si>
  <si>
    <r>
      <rPr>
        <b/>
        <sz val="11"/>
        <color theme="1"/>
        <rFont val="Calibri"/>
        <family val="2"/>
        <charset val="162"/>
        <scheme val="minor"/>
      </rPr>
      <t>Yatak Devir Hızı:</t>
    </r>
    <r>
      <rPr>
        <sz val="11"/>
        <color theme="1"/>
        <rFont val="Calibri"/>
        <family val="2"/>
        <scheme val="minor"/>
      </rPr>
      <t xml:space="preserve"> Bir yatağın belirtilen zaman diliminde kaç hasta tarafından kullanıldığını göstermektedir. (Taburcu + Ölen Kişi Sayısı) / (Fiili Yatak Sayısı) şeklinde hesaplanır.</t>
    </r>
  </si>
  <si>
    <r>
      <rPr>
        <b/>
        <sz val="11"/>
        <color theme="1"/>
        <rFont val="Calibri"/>
        <family val="2"/>
        <charset val="162"/>
        <scheme val="minor"/>
      </rPr>
      <t>Dahili Branşlara Ait Servis Yatak Doluluk Oranı:</t>
    </r>
    <r>
      <rPr>
        <sz val="11"/>
        <color theme="1"/>
        <rFont val="Calibri"/>
        <family val="2"/>
        <scheme val="minor"/>
      </rPr>
      <t xml:space="preserve"> (Dah Ser.Yatılan Gün Sayısı x 100) / (Dah. Ser. Fiili Yatak sayısı x belirtilen zaman dilimindeki takvim günü)</t>
    </r>
  </si>
  <si>
    <r>
      <rPr>
        <b/>
        <sz val="11"/>
        <color theme="1"/>
        <rFont val="Calibri"/>
        <family val="2"/>
        <charset val="162"/>
        <scheme val="minor"/>
      </rPr>
      <t>Cerrahi Branşlara Ait Servis Yatak Doluluk Oranı:</t>
    </r>
    <r>
      <rPr>
        <sz val="11"/>
        <color theme="1"/>
        <rFont val="Calibri"/>
        <family val="2"/>
        <scheme val="minor"/>
      </rPr>
      <t xml:space="preserve"> (Cer. Ser.Yatılan Gün Sayısı x 100) / (Cer. Ser. Fiili Yatak sayısı x belirtilen zaman dilimindeki takvim günü)</t>
    </r>
  </si>
  <si>
    <t>Dah Ser.Yatılan Gün Sayısı</t>
  </si>
  <si>
    <t>Cer. Ser.Yatılan Gün Sayısı</t>
  </si>
  <si>
    <r>
      <rPr>
        <b/>
        <sz val="11"/>
        <color theme="1"/>
        <rFont val="Calibri"/>
        <family val="2"/>
        <charset val="162"/>
        <scheme val="minor"/>
      </rPr>
      <t>Klinisyen Uzman Hekim Sayısı:</t>
    </r>
    <r>
      <rPr>
        <sz val="11"/>
        <color theme="1"/>
        <rFont val="Calibri"/>
        <family val="2"/>
        <scheme val="minor"/>
      </rPr>
      <t xml:space="preserve"> Prof,Doç,Dr.Öğr.Üy.Öğr.Gör.Uzman unvanına sahip Ayaktan veya yataklı hizmet birimlerinde hastaya doğrudan temas eden hasta bakan tanı koyan poliklinik hizmeti veren hekimleri ifade eder.</t>
    </r>
  </si>
  <si>
    <r>
      <rPr>
        <b/>
        <sz val="11"/>
        <color theme="1"/>
        <rFont val="Calibri"/>
        <family val="2"/>
        <charset val="162"/>
        <scheme val="minor"/>
      </rPr>
      <t xml:space="preserve">Diğer Sağlık Personeli Sayısı: </t>
    </r>
    <r>
      <rPr>
        <sz val="11"/>
        <color theme="1"/>
        <rFont val="Calibri"/>
        <family val="2"/>
        <scheme val="minor"/>
      </rPr>
      <t>Ek2 de yer alan Sağlık Meslek Mensuplarının İş ve Görev Tanımları başlıklı tabloda yer alan meslekleri icra eden kişileri ifade eder.</t>
    </r>
  </si>
  <si>
    <r>
      <rPr>
        <b/>
        <sz val="11"/>
        <color theme="1"/>
        <rFont val="Calibri"/>
        <family val="2"/>
        <charset val="162"/>
        <scheme val="minor"/>
      </rPr>
      <t xml:space="preserve">Diğer Personel Sayısı: </t>
    </r>
    <r>
      <rPr>
        <sz val="11"/>
        <color theme="1"/>
        <rFont val="Calibri"/>
        <family val="2"/>
        <scheme val="minor"/>
      </rPr>
      <t>Ek2 ‘ de Yer Alan Diğer Meslek Mensuplarının Sağlık Himzetlerinde İş ve Görev Tanımları başlıklı tabloda yer alan ve belirtilen tablolar dışındaki tüm meslek gruplarını ifade eder.</t>
    </r>
  </si>
  <si>
    <t>Dil ve konuşma terapisti</t>
  </si>
  <si>
    <t>Diş tabibi ve uzman diş tabibi</t>
  </si>
  <si>
    <t>Diyetisyen</t>
  </si>
  <si>
    <t>Ebe</t>
  </si>
  <si>
    <t>Eczacı</t>
  </si>
  <si>
    <t>İş ve uğraşı terapisti (Ergoterapist)</t>
  </si>
  <si>
    <t>Fizyoterapist</t>
  </si>
  <si>
    <t>Hemşire</t>
  </si>
  <si>
    <t>Odyolog</t>
  </si>
  <si>
    <t>Tabip ve uzman tabip</t>
  </si>
  <si>
    <t>Perfüzyonist</t>
  </si>
  <si>
    <t>Klinik psikolog</t>
  </si>
  <si>
    <t>Sağlık fizikçisi</t>
  </si>
  <si>
    <t>Acil tıp teknikeri</t>
  </si>
  <si>
    <t>Ağız ve diş sağlığı teknikeri</t>
  </si>
  <si>
    <t>Diş protez teknikeri</t>
  </si>
  <si>
    <t>Ameliyathane teknikeri</t>
  </si>
  <si>
    <t>Anestezi teknikeri</t>
  </si>
  <si>
    <t>Diyaliz teknikeri</t>
  </si>
  <si>
    <t>Elektronörofizyoloji Teknikeri</t>
  </si>
  <si>
    <t>İş ve uğraşı teknikeri (Ergoterapi teknikeri)</t>
  </si>
  <si>
    <t>Odyometri teknikeri</t>
  </si>
  <si>
    <t>Optisyen</t>
  </si>
  <si>
    <t>Adli tıp teknikeri</t>
  </si>
  <si>
    <t>Podolog</t>
  </si>
  <si>
    <t>Eczane Teknikeri</t>
  </si>
  <si>
    <t>Tıbbi protez ve ortez teknikeri</t>
  </si>
  <si>
    <t>Tıbbi Laboratuvar ve patoloji teknikeri</t>
  </si>
  <si>
    <t>Tıbbi görüntüleme teknisyeni</t>
  </si>
  <si>
    <t>Tıbbi görüntüleme teknikeri</t>
  </si>
  <si>
    <t>Radyoterapi teknikeri</t>
  </si>
  <si>
    <t>Mamografi teknikeri</t>
  </si>
  <si>
    <t>Fizyoterapi teknikeri</t>
  </si>
  <si>
    <t>Ebe yardımcısı</t>
  </si>
  <si>
    <t>Hemşire yardımcısı</t>
  </si>
  <si>
    <t>Sağlık bakım teknisyeni</t>
  </si>
  <si>
    <t>Anestezi teknisyeni</t>
  </si>
  <si>
    <t>Tıbbi laboratuvar teknisyeni</t>
  </si>
  <si>
    <t>Tıbbi protez ve ortez teknisyeni</t>
  </si>
  <si>
    <t>Acil tıp teknisyeni</t>
  </si>
  <si>
    <t>Çocuk gelişimcisi</t>
  </si>
  <si>
    <t>Sosyal çalışmacı</t>
  </si>
  <si>
    <t>Sosyal hizmet uzmanı</t>
  </si>
  <si>
    <t>Psikolog</t>
  </si>
  <si>
    <t>Biyolog</t>
  </si>
  <si>
    <t>Sağlık eğitimcisi</t>
  </si>
  <si>
    <t>Tıbbi teknolog</t>
  </si>
  <si>
    <t>Sağlık idarecisi</t>
  </si>
  <si>
    <t>Evde hasta bakım teknikeri</t>
  </si>
  <si>
    <t>Biyomedikal cihaz teknikeri</t>
  </si>
  <si>
    <t>Yaşlı bakım teknikeri</t>
  </si>
  <si>
    <t>Tıbbi sekreter</t>
  </si>
  <si>
    <t>Çevre sağlığı teknikeri</t>
  </si>
  <si>
    <t>Çevre sağlığı teknisyeni</t>
  </si>
  <si>
    <r>
      <rPr>
        <b/>
        <sz val="11"/>
        <color theme="1"/>
        <rFont val="Calibri"/>
        <family val="2"/>
        <charset val="162"/>
        <scheme val="minor"/>
      </rPr>
      <t>Klinisyen Uzman Hekim Başına Düşen Günlük Muayene Sayısı(Acil ve Diş Hariç):</t>
    </r>
    <r>
      <rPr>
        <sz val="11"/>
        <color theme="1"/>
        <rFont val="Calibri"/>
        <family val="2"/>
        <scheme val="minor"/>
      </rPr>
      <t xml:space="preserve"> Toplam Poliklinik Sayısı(dahili+cerrahi)/ Toplam Klinisyen Uzman Hekim Sayısı</t>
    </r>
  </si>
  <si>
    <r>
      <rPr>
        <b/>
        <sz val="11"/>
        <color theme="1"/>
        <rFont val="Calibri"/>
        <family val="2"/>
        <charset val="162"/>
        <scheme val="minor"/>
      </rPr>
      <t>Dahili Klinisyen Uzman Hekim Başına Düşen Günlük Muayene Sayısı(Acil ve Diş Hariç):</t>
    </r>
    <r>
      <rPr>
        <sz val="11"/>
        <color theme="1"/>
        <rFont val="Calibri"/>
        <family val="2"/>
        <scheme val="minor"/>
      </rPr>
      <t xml:space="preserve"> Toplam Dahili Branş Poliklinik Sayısı / Toplam Dahili Branş Klinisyen Uzman Hekim Sayısı</t>
    </r>
  </si>
  <si>
    <r>
      <rPr>
        <b/>
        <sz val="11"/>
        <color theme="1"/>
        <rFont val="Calibri"/>
        <family val="2"/>
        <charset val="162"/>
        <scheme val="minor"/>
      </rPr>
      <t xml:space="preserve">Cerrahi Klinisyen Uzman Hekim Başına Düşen Günlük Muayene Sayısı(Acil ve Diş Hariç): </t>
    </r>
    <r>
      <rPr>
        <sz val="11"/>
        <color theme="1"/>
        <rFont val="Calibri"/>
        <family val="2"/>
        <scheme val="minor"/>
      </rPr>
      <t>Toplam Cerrahi Branş Poliklinik Sayısı / Toplam Cerrahi Branş Klinisyen Uzman Hekim Sayısı</t>
    </r>
  </si>
  <si>
    <r>
      <rPr>
        <b/>
        <sz val="11"/>
        <color theme="1"/>
        <rFont val="Calibri"/>
        <family val="2"/>
        <charset val="162"/>
        <scheme val="minor"/>
      </rPr>
      <t xml:space="preserve">Mesai Dışı ABC Ameliyat Oranı: </t>
    </r>
    <r>
      <rPr>
        <sz val="11"/>
        <color theme="1"/>
        <rFont val="Calibri"/>
        <family val="2"/>
        <scheme val="minor"/>
      </rPr>
      <t>Mesai Dışı ABC Ameliyat Sayısı/ Toplam Ameliyat Sayısı</t>
    </r>
  </si>
  <si>
    <r>
      <rPr>
        <b/>
        <sz val="11"/>
        <color theme="1"/>
        <rFont val="Calibri"/>
        <family val="2"/>
        <charset val="162"/>
        <scheme val="minor"/>
      </rPr>
      <t xml:space="preserve">ABC Ameliyat Oranı: </t>
    </r>
    <r>
      <rPr>
        <sz val="11"/>
        <color theme="1"/>
        <rFont val="Calibri"/>
        <family val="2"/>
        <scheme val="minor"/>
      </rPr>
      <t>Toplam ABC Ameliyat Sayısı/ Toplam Ameliyat Sayısı</t>
    </r>
  </si>
  <si>
    <r>
      <rPr>
        <b/>
        <sz val="11"/>
        <color theme="1"/>
        <rFont val="Calibri"/>
        <family val="2"/>
        <charset val="162"/>
        <scheme val="minor"/>
      </rPr>
      <t>Ameliyat Masası Başına Düşen Ameliyat Sayısı (Günlük) (ABC Ameliyatlar İçin):</t>
    </r>
    <r>
      <rPr>
        <sz val="11"/>
        <color theme="1"/>
        <rFont val="Calibri"/>
        <family val="2"/>
        <scheme val="minor"/>
      </rPr>
      <t xml:space="preserve"> Toplam ABC Ameliyat Sayısı/(Aktif Ameliyat Masası Sayısı x 365)</t>
    </r>
  </si>
  <si>
    <r>
      <rPr>
        <b/>
        <sz val="11"/>
        <color theme="1"/>
        <rFont val="Calibri"/>
        <family val="2"/>
        <charset val="162"/>
        <scheme val="minor"/>
      </rPr>
      <t>Cerrahi Hekim Başına Düşen Aylık ABC Ameliyat Sayısı:</t>
    </r>
    <r>
      <rPr>
        <sz val="11"/>
        <color theme="1"/>
        <rFont val="Calibri"/>
        <family val="2"/>
        <scheme val="minor"/>
      </rPr>
      <t xml:space="preserve"> (Toplam ABC Ameliyat Sayısı x 30 ) / Cerrahi Klinisyen Uzman Sayısı x Belirlenen Süredeki Gün Sayısı)</t>
    </r>
  </si>
  <si>
    <r>
      <rPr>
        <b/>
        <sz val="11"/>
        <color theme="1"/>
        <rFont val="Calibri"/>
        <family val="2"/>
        <charset val="162"/>
        <scheme val="minor"/>
      </rPr>
      <t>Sezaryen Oranı:</t>
    </r>
    <r>
      <rPr>
        <sz val="11"/>
        <color theme="1"/>
        <rFont val="Calibri"/>
        <family val="2"/>
        <scheme val="minor"/>
      </rPr>
      <t xml:space="preserve"> Sağlık Tesisinde gerçekleşen tüm doğumların içindeki sezaryen oranını ölçmek için kullanılan sayıdır.(Toplam Sezaryen Yapılan Hasta Sayısı) / Toplam Doğum Sayısı</t>
    </r>
  </si>
  <si>
    <r>
      <rPr>
        <b/>
        <sz val="11"/>
        <color theme="1"/>
        <rFont val="Calibri"/>
        <family val="2"/>
        <charset val="162"/>
        <scheme val="minor"/>
      </rPr>
      <t xml:space="preserve">Primer Sezaryen oranı: </t>
    </r>
    <r>
      <rPr>
        <sz val="11"/>
        <color theme="1"/>
        <rFont val="Calibri"/>
        <family val="2"/>
        <scheme val="minor"/>
      </rPr>
      <t>Sağlık Tesisinde gerçekleşen tüm doğumların (mükerrer sezaryen hariç) içindeki primer sezaryen doğumların oranını ölçmek için kullanılan sayıdır. (Toplam Primer Sezaryen Yapılan Hasta Sayısı) / Toplam Yapılan Doğum Sayısı – Mükerrer Sezaryen Yapılan Hasta Sayısı)</t>
    </r>
  </si>
  <si>
    <r>
      <rPr>
        <b/>
        <sz val="11"/>
        <color theme="1"/>
        <rFont val="Calibri"/>
        <family val="2"/>
        <charset val="162"/>
        <scheme val="minor"/>
      </rPr>
      <t xml:space="preserve">Mesai Dışı Primer Sezaryen Oranı: </t>
    </r>
    <r>
      <rPr>
        <sz val="11"/>
        <color theme="1"/>
        <rFont val="Calibri"/>
        <family val="2"/>
        <scheme val="minor"/>
      </rPr>
      <t>Mesai Dışı Yapılan Primer Sezaryenlerin Toplam Sezaryen toplam Primer Sezaryen Doğumların içerisindeki oranını gösteren sayıdır. (Mesai Dışı Yapılan Primer Sezaryen Doğum) / (Toplam Primer sezaryen Doğum)</t>
    </r>
  </si>
  <si>
    <r>
      <rPr>
        <b/>
        <sz val="11"/>
        <color theme="1"/>
        <rFont val="Calibri"/>
        <family val="2"/>
        <charset val="162"/>
        <scheme val="minor"/>
      </rPr>
      <t xml:space="preserve">Yatak Doluluk Oranı: </t>
    </r>
    <r>
      <rPr>
        <sz val="11"/>
        <color theme="1"/>
        <rFont val="Calibri"/>
        <family val="2"/>
        <scheme val="minor"/>
      </rPr>
      <t>Belirtilen zaman dilimi içinde yatakların ne oranda hasta tarafından kullanıldığını göstermektedir. (Yatılan Gün Sayısı x 100) / (Fiili Yatak sayısı x belirtilen zaman dilimindeki takvim günü) şeklinde hesaplanır.</t>
    </r>
  </si>
  <si>
    <r>
      <rPr>
        <b/>
        <sz val="11"/>
        <color theme="1"/>
        <rFont val="Calibri"/>
        <family val="2"/>
        <charset val="162"/>
        <scheme val="minor"/>
      </rPr>
      <t xml:space="preserve">Ventilatör Kulanım Oranı: </t>
    </r>
    <r>
      <rPr>
        <sz val="11"/>
        <color theme="1"/>
        <rFont val="Calibri"/>
        <family val="2"/>
        <scheme val="minor"/>
      </rPr>
      <t>Ventilatör Gün Sayısı / Yatılan Gün Sayısı</t>
    </r>
  </si>
  <si>
    <r>
      <rPr>
        <b/>
        <sz val="11"/>
        <color theme="1"/>
        <rFont val="Calibri"/>
        <family val="2"/>
        <charset val="162"/>
        <scheme val="minor"/>
      </rPr>
      <t>Ventilatör Doluluk oranı:</t>
    </r>
    <r>
      <rPr>
        <sz val="11"/>
        <color theme="1"/>
        <rFont val="Calibri"/>
        <family val="2"/>
        <scheme val="minor"/>
      </rPr>
      <t xml:space="preserve"> (Ventilatör Gün Sayısı x 100) / (Ventilatör sayısı x belirtilen zaman dilimindeki takvim günü)</t>
    </r>
  </si>
  <si>
    <r>
      <rPr>
        <b/>
        <sz val="11"/>
        <color theme="1"/>
        <rFont val="Calibri"/>
        <family val="2"/>
        <charset val="162"/>
        <scheme val="minor"/>
      </rPr>
      <t>Yoğun Bakım Yatak Doluluk oranı:</t>
    </r>
    <r>
      <rPr>
        <sz val="11"/>
        <color theme="1"/>
        <rFont val="Calibri"/>
        <family val="2"/>
        <scheme val="minor"/>
      </rPr>
      <t xml:space="preserve"> her basamak için ayrı olarak (Yatılan Gün Sayısı x 100) / (Yatak sayısı x belirtilen zaman dilimindeki takvim günü)</t>
    </r>
  </si>
  <si>
    <t>Palyatif Bakım Tescilli ve Fiili Yatak Doluluk Oranı verileri tarafınızdan istenmişse Yatak Doluluk Oranı Formülüne Göre Yatak Tipine dikkat edilerek hesaplanması gerekmektedir.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</si>
</sst>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0"/>
      <color theme="1"/>
      <name val="Arial"/>
    </font>
    <font>
      <sz val="10"/>
      <name val="Arial"/>
    </font>
    <font>
      <b/>
      <sz val="11"/>
      <color theme="1"/>
      <name val="Times New Roman"/>
    </font>
    <font>
      <b/>
      <sz val="10"/>
      <color theme="1"/>
      <name val="Times New Roman"/>
    </font>
    <font>
      <b/>
      <sz val="11"/>
      <color theme="1"/>
      <name val="Calibri"/>
      <family val="2"/>
      <charset val="162"/>
      <scheme val="minor"/>
    </font>
    <font>
      <b/>
      <sz val="13.5"/>
      <color theme="1"/>
      <name val="Calibri"/>
      <family val="2"/>
      <scheme val="minor"/>
    </font>
  </fonts>
  <fills count="14">
    <fill>
      <patternFill patternType="none"/>
    </fill>
    <fill>
      <patternFill patternType="gray125"/>
    </fill>
    <fill>
      <patternFill patternType="solid">
        <fgColor rgb="FFFFF2CC"/>
        <bgColor rgb="FFFFF2CC"/>
      </patternFill>
    </fill>
    <fill>
      <patternFill patternType="solid">
        <fgColor rgb="FFB6D7A8"/>
        <bgColor rgb="FFB6D7A8"/>
      </patternFill>
    </fill>
    <fill>
      <patternFill patternType="solid">
        <fgColor rgb="FFD5A6BD"/>
        <bgColor rgb="FFD5A6BD"/>
      </patternFill>
    </fill>
    <fill>
      <patternFill patternType="solid">
        <fgColor rgb="FFF4CCCC"/>
        <bgColor rgb="FFF4CCCC"/>
      </patternFill>
    </fill>
    <fill>
      <patternFill patternType="solid">
        <fgColor rgb="FF6D9EEB"/>
        <bgColor rgb="FF6D9EEB"/>
      </patternFill>
    </fill>
    <fill>
      <patternFill patternType="solid">
        <fgColor rgb="FFA4C2F4"/>
        <bgColor rgb="FFA4C2F4"/>
      </patternFill>
    </fill>
    <fill>
      <patternFill patternType="solid">
        <fgColor rgb="FFC9DAF8"/>
        <bgColor rgb="FFC9DAF8"/>
      </patternFill>
    </fill>
    <fill>
      <patternFill patternType="solid">
        <fgColor rgb="FF00FFFF"/>
        <bgColor rgb="FF00FFFF"/>
      </patternFill>
    </fill>
    <fill>
      <patternFill patternType="solid">
        <fgColor rgb="FFCCCCCC"/>
        <bgColor rgb="FFCCCCCC"/>
      </patternFill>
    </fill>
    <fill>
      <patternFill patternType="solid">
        <fgColor rgb="FFEAD1DC"/>
        <bgColor rgb="FFEAD1DC"/>
      </patternFill>
    </fill>
    <fill>
      <patternFill patternType="solid">
        <fgColor rgb="FFF9CB9C"/>
        <bgColor rgb="FFF9CB9C"/>
      </patternFill>
    </fill>
    <fill>
      <patternFill patternType="solid">
        <fgColor rgb="FFFFFF00"/>
        <bgColor indexed="64"/>
      </patternFill>
    </fill>
  </fills>
  <borders count="1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58">
    <xf numFmtId="0" fontId="0" fillId="0" borderId="0" xfId="0"/>
    <xf numFmtId="0" fontId="3" fillId="0" borderId="1"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xf numFmtId="0" fontId="3"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10" fontId="3" fillId="5" borderId="1" xfId="0" applyNumberFormat="1"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2" borderId="5" xfId="0" applyFont="1" applyFill="1" applyBorder="1"/>
    <xf numFmtId="0" fontId="3" fillId="5" borderId="4" xfId="0" applyFont="1" applyFill="1" applyBorder="1" applyAlignment="1">
      <alignment horizontal="center" vertical="center" wrapText="1"/>
    </xf>
    <xf numFmtId="10" fontId="3" fillId="5" borderId="4" xfId="0" applyNumberFormat="1" applyFont="1" applyFill="1" applyBorder="1" applyAlignment="1">
      <alignment horizontal="center" vertical="center" wrapText="1"/>
    </xf>
    <xf numFmtId="0" fontId="5" fillId="8"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10" fontId="6" fillId="2" borderId="2" xfId="0"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0" fillId="0" borderId="0" xfId="0" applyProtection="1">
      <protection locked="0"/>
    </xf>
    <xf numFmtId="0" fontId="2" fillId="0" borderId="0" xfId="0" applyFont="1" applyProtection="1">
      <protection locked="0"/>
    </xf>
    <xf numFmtId="0" fontId="7" fillId="0" borderId="0" xfId="0" applyFont="1"/>
    <xf numFmtId="0" fontId="2" fillId="0" borderId="0" xfId="0" applyFont="1"/>
    <xf numFmtId="0" fontId="8" fillId="0" borderId="0" xfId="0" applyFont="1" applyAlignment="1">
      <alignment vertical="center"/>
    </xf>
    <xf numFmtId="0" fontId="0" fillId="0" borderId="0" xfId="0" applyAlignment="1">
      <alignment horizontal="left" vertical="center" indent="1"/>
    </xf>
    <xf numFmtId="0" fontId="0" fillId="13" borderId="0" xfId="0" applyFill="1"/>
    <xf numFmtId="0" fontId="0" fillId="13" borderId="0" xfId="0" applyFill="1" applyProtection="1">
      <protection locked="0"/>
    </xf>
    <xf numFmtId="0" fontId="3" fillId="2" borderId="5" xfId="0" applyFont="1" applyFill="1" applyBorder="1" applyAlignment="1">
      <alignment horizontal="center" vertical="center" wrapText="1"/>
    </xf>
    <xf numFmtId="0" fontId="4" fillId="0" borderId="6" xfId="0" applyFont="1" applyBorder="1"/>
    <xf numFmtId="0" fontId="4" fillId="0" borderId="7" xfId="0" applyFont="1" applyBorder="1"/>
    <xf numFmtId="0" fontId="5" fillId="0" borderId="8" xfId="0" applyFont="1" applyBorder="1" applyAlignment="1">
      <alignment horizontal="center" vertical="center" wrapText="1"/>
    </xf>
    <xf numFmtId="0" fontId="4" fillId="0" borderId="3" xfId="0" applyFont="1" applyBorder="1"/>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4" fillId="0" borderId="11" xfId="0" applyFont="1" applyBorder="1"/>
    <xf numFmtId="0" fontId="5" fillId="2" borderId="5"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5" borderId="8" xfId="0" applyFont="1" applyFill="1" applyBorder="1" applyAlignment="1">
      <alignment horizontal="center" vertical="center" wrapText="1"/>
    </xf>
    <xf numFmtId="10" fontId="5" fillId="5" borderId="8" xfId="0" applyNumberFormat="1"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6" fillId="12" borderId="9" xfId="0" applyFont="1" applyFill="1" applyBorder="1" applyAlignment="1">
      <alignment horizontal="center" vertical="center" wrapText="1"/>
    </xf>
    <xf numFmtId="0" fontId="6" fillId="11"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F162"/>
  <sheetViews>
    <sheetView tabSelected="1" zoomScale="70" zoomScaleNormal="70" workbookViewId="0">
      <selection activeCell="A5" sqref="A5"/>
    </sheetView>
  </sheetViews>
  <sheetFormatPr defaultColWidth="12.5703125" defaultRowHeight="15" x14ac:dyDescent="0.25"/>
  <cols>
    <col min="1" max="2" width="18.85546875" customWidth="1"/>
    <col min="3" max="3" width="24.42578125" customWidth="1"/>
    <col min="4" max="266" width="18.85546875" customWidth="1"/>
  </cols>
  <sheetData>
    <row r="1" spans="1:266" ht="37.5" customHeight="1" x14ac:dyDescent="0.25">
      <c r="A1" s="1"/>
      <c r="B1" s="1"/>
      <c r="C1" s="2"/>
      <c r="D1" s="2"/>
      <c r="E1" s="3"/>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4"/>
      <c r="BY1" s="4"/>
      <c r="BZ1" s="4"/>
      <c r="CA1" s="4"/>
      <c r="CB1" s="4"/>
      <c r="CC1" s="4"/>
      <c r="CD1" s="4"/>
      <c r="CE1" s="4"/>
      <c r="CF1" s="4"/>
      <c r="CG1" s="4"/>
      <c r="CH1" s="4"/>
      <c r="CI1" s="4"/>
      <c r="CJ1" s="4"/>
      <c r="CK1" s="4"/>
      <c r="CL1" s="4"/>
      <c r="CM1" s="4"/>
      <c r="CN1" s="4"/>
      <c r="CO1" s="4"/>
      <c r="CP1" s="4"/>
      <c r="CQ1" s="4"/>
      <c r="CR1" s="4"/>
      <c r="CS1" s="4"/>
      <c r="CT1" s="4"/>
      <c r="CU1" s="4"/>
      <c r="CV1" s="4"/>
      <c r="CW1" s="4"/>
      <c r="CX1" s="5"/>
      <c r="CY1" s="5"/>
      <c r="CZ1" s="5"/>
      <c r="DA1" s="5"/>
      <c r="DB1" s="5"/>
      <c r="DC1" s="5"/>
      <c r="DD1" s="5"/>
      <c r="DE1" s="5"/>
      <c r="DF1" s="6"/>
      <c r="DG1" s="6"/>
      <c r="DH1" s="7"/>
      <c r="DI1" s="6"/>
      <c r="DJ1" s="7"/>
      <c r="DK1" s="6"/>
      <c r="DL1" s="7"/>
      <c r="DM1" s="6"/>
      <c r="DN1" s="7"/>
      <c r="DO1" s="6"/>
      <c r="DP1" s="8"/>
      <c r="DQ1" s="8"/>
      <c r="DR1" s="8"/>
      <c r="DS1" s="8"/>
      <c r="DT1" s="8"/>
      <c r="DU1" s="8"/>
      <c r="DV1" s="8"/>
      <c r="DW1" s="8"/>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10"/>
      <c r="FB1" s="10"/>
      <c r="FC1" s="10"/>
      <c r="FD1" s="10"/>
      <c r="FE1" s="10"/>
      <c r="FF1" s="10"/>
      <c r="FG1" s="10"/>
      <c r="FH1" s="10"/>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3"/>
      <c r="IY1" s="13"/>
      <c r="IZ1" s="13"/>
      <c r="JA1" s="14"/>
      <c r="JB1" s="14"/>
      <c r="JC1" s="14"/>
      <c r="JD1" s="14"/>
      <c r="JE1" s="14"/>
      <c r="JF1" s="14"/>
    </row>
    <row r="2" spans="1:266" ht="37.5" customHeight="1" x14ac:dyDescent="0.25">
      <c r="A2" s="15"/>
      <c r="B2" s="16"/>
      <c r="C2" s="2"/>
      <c r="D2" s="2"/>
      <c r="E2" s="17"/>
      <c r="F2" s="2"/>
      <c r="G2" s="2"/>
      <c r="H2" s="2"/>
      <c r="I2" s="2"/>
      <c r="J2" s="2"/>
      <c r="K2" s="2"/>
      <c r="L2" s="2"/>
      <c r="M2" s="2"/>
      <c r="N2" s="2"/>
      <c r="O2" s="2"/>
      <c r="P2" s="2"/>
      <c r="Q2" s="2"/>
      <c r="R2" s="2"/>
      <c r="S2" s="2"/>
      <c r="T2" s="2"/>
      <c r="U2" s="2"/>
      <c r="V2" s="2"/>
      <c r="W2" s="2"/>
      <c r="X2" s="2"/>
      <c r="Y2" s="37"/>
      <c r="Z2" s="38"/>
      <c r="AA2" s="38"/>
      <c r="AB2" s="39"/>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4"/>
      <c r="BY2" s="4"/>
      <c r="BZ2" s="4"/>
      <c r="CA2" s="4"/>
      <c r="CB2" s="4"/>
      <c r="CC2" s="4"/>
      <c r="CD2" s="4"/>
      <c r="CE2" s="4"/>
      <c r="CF2" s="4"/>
      <c r="CG2" s="4"/>
      <c r="CH2" s="4"/>
      <c r="CI2" s="4"/>
      <c r="CJ2" s="4"/>
      <c r="CK2" s="4"/>
      <c r="CL2" s="4"/>
      <c r="CM2" s="4"/>
      <c r="CN2" s="4"/>
      <c r="CO2" s="4"/>
      <c r="CP2" s="4"/>
      <c r="CQ2" s="4"/>
      <c r="CR2" s="4"/>
      <c r="CS2" s="4"/>
      <c r="CT2" s="4"/>
      <c r="CU2" s="4"/>
      <c r="CV2" s="4"/>
      <c r="CW2" s="4"/>
      <c r="CX2" s="5"/>
      <c r="CY2" s="5"/>
      <c r="CZ2" s="5"/>
      <c r="DA2" s="5"/>
      <c r="DB2" s="5"/>
      <c r="DC2" s="5"/>
      <c r="DD2" s="5"/>
      <c r="DE2" s="5"/>
      <c r="DF2" s="18"/>
      <c r="DG2" s="18"/>
      <c r="DH2" s="19"/>
      <c r="DI2" s="18"/>
      <c r="DJ2" s="19"/>
      <c r="DK2" s="18"/>
      <c r="DL2" s="19"/>
      <c r="DM2" s="18"/>
      <c r="DN2" s="19"/>
      <c r="DO2" s="18"/>
      <c r="DP2" s="8"/>
      <c r="DQ2" s="8"/>
      <c r="DR2" s="8"/>
      <c r="DS2" s="8"/>
      <c r="DT2" s="8"/>
      <c r="DU2" s="8"/>
      <c r="DV2" s="8"/>
      <c r="DW2" s="8"/>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10"/>
      <c r="FB2" s="10"/>
      <c r="FC2" s="10"/>
      <c r="FD2" s="10"/>
      <c r="FE2" s="10"/>
      <c r="FF2" s="10"/>
      <c r="FG2" s="10"/>
      <c r="FH2" s="10"/>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3"/>
      <c r="IY2" s="13"/>
      <c r="IZ2" s="13"/>
      <c r="JA2" s="14"/>
      <c r="JB2" s="14"/>
      <c r="JC2" s="14"/>
      <c r="JD2" s="14"/>
      <c r="JE2" s="14"/>
      <c r="JF2" s="14"/>
    </row>
    <row r="3" spans="1:266" ht="112.5" customHeight="1" x14ac:dyDescent="0.25">
      <c r="A3" s="40" t="s">
        <v>0</v>
      </c>
      <c r="B3" s="40" t="s">
        <v>1</v>
      </c>
      <c r="C3" s="42" t="s">
        <v>2</v>
      </c>
      <c r="D3" s="42" t="s">
        <v>3</v>
      </c>
      <c r="E3" s="43" t="s">
        <v>4</v>
      </c>
      <c r="F3" s="42" t="s">
        <v>5</v>
      </c>
      <c r="G3" s="42" t="s">
        <v>6</v>
      </c>
      <c r="H3" s="45" t="s">
        <v>7</v>
      </c>
      <c r="I3" s="38"/>
      <c r="J3" s="39"/>
      <c r="K3" s="45" t="s">
        <v>8</v>
      </c>
      <c r="L3" s="38"/>
      <c r="M3" s="38"/>
      <c r="N3" s="38"/>
      <c r="O3" s="38"/>
      <c r="P3" s="38"/>
      <c r="Q3" s="38"/>
      <c r="R3" s="39"/>
      <c r="S3" s="45" t="s">
        <v>9</v>
      </c>
      <c r="T3" s="38"/>
      <c r="U3" s="38"/>
      <c r="V3" s="39"/>
      <c r="W3" s="45" t="s">
        <v>10</v>
      </c>
      <c r="X3" s="38"/>
      <c r="Y3" s="38"/>
      <c r="Z3" s="38"/>
      <c r="AA3" s="39"/>
      <c r="AB3" s="45" t="s">
        <v>11</v>
      </c>
      <c r="AC3" s="38"/>
      <c r="AD3" s="38"/>
      <c r="AE3" s="38"/>
      <c r="AF3" s="39"/>
      <c r="AG3" s="45" t="s">
        <v>12</v>
      </c>
      <c r="AH3" s="38"/>
      <c r="AI3" s="38"/>
      <c r="AJ3" s="38"/>
      <c r="AK3" s="38"/>
      <c r="AL3" s="38"/>
      <c r="AM3" s="38"/>
      <c r="AN3" s="39"/>
      <c r="AO3" s="42" t="s">
        <v>13</v>
      </c>
      <c r="AP3" s="42" t="s">
        <v>14</v>
      </c>
      <c r="AQ3" s="46" t="s">
        <v>15</v>
      </c>
      <c r="AR3" s="42" t="s">
        <v>16</v>
      </c>
      <c r="AS3" s="42" t="s">
        <v>17</v>
      </c>
      <c r="AT3" s="42" t="s">
        <v>18</v>
      </c>
      <c r="AU3" s="42" t="s">
        <v>19</v>
      </c>
      <c r="AV3" s="42" t="s">
        <v>20</v>
      </c>
      <c r="AW3" s="42" t="s">
        <v>21</v>
      </c>
      <c r="AX3" s="42" t="s">
        <v>22</v>
      </c>
      <c r="AY3" s="42" t="s">
        <v>23</v>
      </c>
      <c r="AZ3" s="42" t="s">
        <v>24</v>
      </c>
      <c r="BA3" s="42" t="s">
        <v>25</v>
      </c>
      <c r="BB3" s="42" t="s">
        <v>26</v>
      </c>
      <c r="BC3" s="42" t="s">
        <v>27</v>
      </c>
      <c r="BD3" s="42" t="s">
        <v>28</v>
      </c>
      <c r="BE3" s="42" t="s">
        <v>29</v>
      </c>
      <c r="BF3" s="42" t="s">
        <v>30</v>
      </c>
      <c r="BG3" s="42" t="s">
        <v>31</v>
      </c>
      <c r="BH3" s="42" t="s">
        <v>32</v>
      </c>
      <c r="BI3" s="42" t="s">
        <v>33</v>
      </c>
      <c r="BJ3" s="42" t="s">
        <v>34</v>
      </c>
      <c r="BK3" s="42" t="s">
        <v>35</v>
      </c>
      <c r="BL3" s="42" t="s">
        <v>36</v>
      </c>
      <c r="BM3" s="42" t="s">
        <v>37</v>
      </c>
      <c r="BN3" s="42" t="s">
        <v>38</v>
      </c>
      <c r="BO3" s="42" t="s">
        <v>39</v>
      </c>
      <c r="BP3" s="42" t="s">
        <v>40</v>
      </c>
      <c r="BQ3" s="42" t="s">
        <v>41</v>
      </c>
      <c r="BR3" s="42" t="s">
        <v>42</v>
      </c>
      <c r="BS3" s="42" t="s">
        <v>43</v>
      </c>
      <c r="BT3" s="42" t="s">
        <v>44</v>
      </c>
      <c r="BU3" s="42" t="s">
        <v>45</v>
      </c>
      <c r="BV3" s="42" t="s">
        <v>46</v>
      </c>
      <c r="BW3" s="42" t="s">
        <v>47</v>
      </c>
      <c r="BX3" s="48" t="s">
        <v>48</v>
      </c>
      <c r="BY3" s="38"/>
      <c r="BZ3" s="38"/>
      <c r="CA3" s="38"/>
      <c r="CB3" s="38"/>
      <c r="CC3" s="38"/>
      <c r="CD3" s="38"/>
      <c r="CE3" s="38"/>
      <c r="CF3" s="39"/>
      <c r="CG3" s="48" t="s">
        <v>49</v>
      </c>
      <c r="CH3" s="38"/>
      <c r="CI3" s="38"/>
      <c r="CJ3" s="38"/>
      <c r="CK3" s="38"/>
      <c r="CL3" s="38"/>
      <c r="CM3" s="38"/>
      <c r="CN3" s="38"/>
      <c r="CO3" s="39"/>
      <c r="CP3" s="47" t="s">
        <v>50</v>
      </c>
      <c r="CQ3" s="47" t="s">
        <v>51</v>
      </c>
      <c r="CR3" s="47" t="s">
        <v>52</v>
      </c>
      <c r="CS3" s="47" t="s">
        <v>53</v>
      </c>
      <c r="CT3" s="47" t="s">
        <v>54</v>
      </c>
      <c r="CU3" s="47" t="s">
        <v>55</v>
      </c>
      <c r="CV3" s="47" t="s">
        <v>56</v>
      </c>
      <c r="CW3" s="47" t="s">
        <v>57</v>
      </c>
      <c r="CX3" s="49" t="s">
        <v>58</v>
      </c>
      <c r="CY3" s="49" t="s">
        <v>59</v>
      </c>
      <c r="CZ3" s="49" t="s">
        <v>60</v>
      </c>
      <c r="DA3" s="49" t="s">
        <v>61</v>
      </c>
      <c r="DB3" s="49" t="s">
        <v>62</v>
      </c>
      <c r="DC3" s="49" t="s">
        <v>63</v>
      </c>
      <c r="DD3" s="49" t="s">
        <v>64</v>
      </c>
      <c r="DE3" s="49" t="s">
        <v>65</v>
      </c>
      <c r="DF3" s="50" t="s">
        <v>66</v>
      </c>
      <c r="DG3" s="50" t="s">
        <v>67</v>
      </c>
      <c r="DH3" s="51" t="s">
        <v>68</v>
      </c>
      <c r="DI3" s="50" t="s">
        <v>69</v>
      </c>
      <c r="DJ3" s="51" t="s">
        <v>70</v>
      </c>
      <c r="DK3" s="50" t="s">
        <v>71</v>
      </c>
      <c r="DL3" s="51" t="s">
        <v>72</v>
      </c>
      <c r="DM3" s="50" t="s">
        <v>73</v>
      </c>
      <c r="DN3" s="51" t="s">
        <v>74</v>
      </c>
      <c r="DO3" s="50" t="s">
        <v>75</v>
      </c>
      <c r="DP3" s="52" t="s">
        <v>76</v>
      </c>
      <c r="DQ3" s="52" t="s">
        <v>77</v>
      </c>
      <c r="DR3" s="52" t="s">
        <v>78</v>
      </c>
      <c r="DS3" s="52" t="s">
        <v>79</v>
      </c>
      <c r="DT3" s="52" t="s">
        <v>80</v>
      </c>
      <c r="DU3" s="52" t="s">
        <v>81</v>
      </c>
      <c r="DV3" s="52" t="s">
        <v>82</v>
      </c>
      <c r="DW3" s="52" t="s">
        <v>83</v>
      </c>
      <c r="DX3" s="53" t="s">
        <v>84</v>
      </c>
      <c r="DY3" s="38"/>
      <c r="DZ3" s="38"/>
      <c r="EA3" s="39"/>
      <c r="EB3" s="53" t="s">
        <v>85</v>
      </c>
      <c r="EC3" s="38"/>
      <c r="ED3" s="38"/>
      <c r="EE3" s="39"/>
      <c r="EF3" s="53" t="s">
        <v>86</v>
      </c>
      <c r="EG3" s="38"/>
      <c r="EH3" s="38"/>
      <c r="EI3" s="39"/>
      <c r="EJ3" s="53" t="s">
        <v>87</v>
      </c>
      <c r="EK3" s="38"/>
      <c r="EL3" s="38"/>
      <c r="EM3" s="39"/>
      <c r="EN3" s="53" t="s">
        <v>88</v>
      </c>
      <c r="EO3" s="38"/>
      <c r="EP3" s="38"/>
      <c r="EQ3" s="38"/>
      <c r="ER3" s="39"/>
      <c r="ES3" s="53" t="s">
        <v>89</v>
      </c>
      <c r="ET3" s="38"/>
      <c r="EU3" s="38"/>
      <c r="EV3" s="39"/>
      <c r="EW3" s="53" t="s">
        <v>90</v>
      </c>
      <c r="EX3" s="38"/>
      <c r="EY3" s="38"/>
      <c r="EZ3" s="39"/>
      <c r="FA3" s="20" t="s">
        <v>91</v>
      </c>
      <c r="FB3" s="20" t="s">
        <v>92</v>
      </c>
      <c r="FC3" s="21" t="s">
        <v>93</v>
      </c>
      <c r="FD3" s="21" t="s">
        <v>94</v>
      </c>
      <c r="FE3" s="20" t="s">
        <v>95</v>
      </c>
      <c r="FF3" s="20" t="s">
        <v>96</v>
      </c>
      <c r="FG3" s="20" t="s">
        <v>97</v>
      </c>
      <c r="FH3" s="20" t="s">
        <v>98</v>
      </c>
      <c r="FI3" s="54" t="s">
        <v>99</v>
      </c>
      <c r="FJ3" s="38"/>
      <c r="FK3" s="38"/>
      <c r="FL3" s="38"/>
      <c r="FM3" s="39"/>
      <c r="FN3" s="54" t="s">
        <v>100</v>
      </c>
      <c r="FO3" s="38"/>
      <c r="FP3" s="38"/>
      <c r="FQ3" s="38"/>
      <c r="FR3" s="39"/>
      <c r="FS3" s="54" t="s">
        <v>101</v>
      </c>
      <c r="FT3" s="38"/>
      <c r="FU3" s="38"/>
      <c r="FV3" s="38"/>
      <c r="FW3" s="39"/>
      <c r="FX3" s="54" t="s">
        <v>102</v>
      </c>
      <c r="FY3" s="38"/>
      <c r="FZ3" s="38"/>
      <c r="GA3" s="38"/>
      <c r="GB3" s="39"/>
      <c r="GC3" s="54" t="s">
        <v>103</v>
      </c>
      <c r="GD3" s="38"/>
      <c r="GE3" s="38"/>
      <c r="GF3" s="38"/>
      <c r="GG3" s="38"/>
      <c r="GH3" s="38"/>
      <c r="GI3" s="39"/>
      <c r="GJ3" s="54" t="s">
        <v>104</v>
      </c>
      <c r="GK3" s="38"/>
      <c r="GL3" s="38"/>
      <c r="GM3" s="38"/>
      <c r="GN3" s="39"/>
      <c r="GO3" s="54" t="s">
        <v>105</v>
      </c>
      <c r="GP3" s="38"/>
      <c r="GQ3" s="38"/>
      <c r="GR3" s="38"/>
      <c r="GS3" s="39"/>
      <c r="GT3" s="55" t="s">
        <v>106</v>
      </c>
      <c r="GU3" s="38"/>
      <c r="GV3" s="38"/>
      <c r="GW3" s="38"/>
      <c r="GX3" s="39"/>
      <c r="GY3" s="55" t="s">
        <v>107</v>
      </c>
      <c r="GZ3" s="38"/>
      <c r="HA3" s="38"/>
      <c r="HB3" s="38"/>
      <c r="HC3" s="39"/>
      <c r="HD3" s="55" t="s">
        <v>108</v>
      </c>
      <c r="HE3" s="38"/>
      <c r="HF3" s="38"/>
      <c r="HG3" s="38"/>
      <c r="HH3" s="39"/>
      <c r="HI3" s="55" t="s">
        <v>109</v>
      </c>
      <c r="HJ3" s="38"/>
      <c r="HK3" s="38"/>
      <c r="HL3" s="38"/>
      <c r="HM3" s="39"/>
      <c r="HN3" s="55" t="s">
        <v>110</v>
      </c>
      <c r="HO3" s="38"/>
      <c r="HP3" s="38"/>
      <c r="HQ3" s="38"/>
      <c r="HR3" s="39"/>
      <c r="HS3" s="55" t="s">
        <v>111</v>
      </c>
      <c r="HT3" s="38"/>
      <c r="HU3" s="38"/>
      <c r="HV3" s="38"/>
      <c r="HW3" s="39"/>
      <c r="HX3" s="55" t="s">
        <v>112</v>
      </c>
      <c r="HY3" s="38"/>
      <c r="HZ3" s="38"/>
      <c r="IA3" s="38"/>
      <c r="IB3" s="39"/>
      <c r="IC3" s="55" t="s">
        <v>113</v>
      </c>
      <c r="ID3" s="38"/>
      <c r="IE3" s="38"/>
      <c r="IF3" s="38"/>
      <c r="IG3" s="39"/>
      <c r="IH3" s="55" t="s">
        <v>114</v>
      </c>
      <c r="II3" s="38"/>
      <c r="IJ3" s="38"/>
      <c r="IK3" s="38"/>
      <c r="IL3" s="39"/>
      <c r="IM3" s="55" t="s">
        <v>115</v>
      </c>
      <c r="IN3" s="38"/>
      <c r="IO3" s="38"/>
      <c r="IP3" s="38"/>
      <c r="IQ3" s="39"/>
      <c r="IR3" s="55" t="s">
        <v>116</v>
      </c>
      <c r="IS3" s="38"/>
      <c r="IT3" s="39"/>
      <c r="IU3" s="55" t="s">
        <v>117</v>
      </c>
      <c r="IV3" s="38"/>
      <c r="IW3" s="39"/>
      <c r="IX3" s="57" t="s">
        <v>118</v>
      </c>
      <c r="IY3" s="57" t="s">
        <v>119</v>
      </c>
      <c r="IZ3" s="57" t="s">
        <v>120</v>
      </c>
      <c r="JA3" s="56" t="s">
        <v>121</v>
      </c>
      <c r="JB3" s="56" t="s">
        <v>122</v>
      </c>
      <c r="JC3" s="56" t="s">
        <v>123</v>
      </c>
      <c r="JD3" s="56" t="s">
        <v>124</v>
      </c>
      <c r="JE3" s="56" t="s">
        <v>125</v>
      </c>
      <c r="JF3" s="56" t="s">
        <v>126</v>
      </c>
    </row>
    <row r="4" spans="1:266" ht="112.5" customHeight="1" x14ac:dyDescent="0.25">
      <c r="A4" s="41"/>
      <c r="B4" s="41"/>
      <c r="C4" s="41"/>
      <c r="D4" s="41"/>
      <c r="E4" s="44"/>
      <c r="F4" s="41"/>
      <c r="G4" s="41"/>
      <c r="H4" s="22" t="s">
        <v>127</v>
      </c>
      <c r="I4" s="22" t="s">
        <v>128</v>
      </c>
      <c r="J4" s="22" t="s">
        <v>129</v>
      </c>
      <c r="K4" s="23" t="s">
        <v>130</v>
      </c>
      <c r="L4" s="24" t="s">
        <v>131</v>
      </c>
      <c r="M4" s="23" t="s">
        <v>132</v>
      </c>
      <c r="N4" s="23" t="s">
        <v>133</v>
      </c>
      <c r="O4" s="23" t="s">
        <v>134</v>
      </c>
      <c r="P4" s="23" t="s">
        <v>135</v>
      </c>
      <c r="Q4" s="23" t="s">
        <v>136</v>
      </c>
      <c r="R4" s="23" t="s">
        <v>137</v>
      </c>
      <c r="S4" s="23" t="s">
        <v>138</v>
      </c>
      <c r="T4" s="23" t="s">
        <v>139</v>
      </c>
      <c r="U4" s="23" t="s">
        <v>140</v>
      </c>
      <c r="V4" s="23" t="s">
        <v>141</v>
      </c>
      <c r="W4" s="23" t="s">
        <v>142</v>
      </c>
      <c r="X4" s="23" t="s">
        <v>143</v>
      </c>
      <c r="Y4" s="23" t="s">
        <v>144</v>
      </c>
      <c r="Z4" s="23" t="s">
        <v>145</v>
      </c>
      <c r="AA4" s="23" t="s">
        <v>146</v>
      </c>
      <c r="AB4" s="23" t="s">
        <v>142</v>
      </c>
      <c r="AC4" s="23" t="s">
        <v>143</v>
      </c>
      <c r="AD4" s="23" t="s">
        <v>144</v>
      </c>
      <c r="AE4" s="23" t="s">
        <v>145</v>
      </c>
      <c r="AF4" s="23" t="s">
        <v>147</v>
      </c>
      <c r="AG4" s="23" t="s">
        <v>148</v>
      </c>
      <c r="AH4" s="22" t="s">
        <v>149</v>
      </c>
      <c r="AI4" s="23" t="s">
        <v>150</v>
      </c>
      <c r="AJ4" s="23" t="s">
        <v>151</v>
      </c>
      <c r="AK4" s="22" t="s">
        <v>152</v>
      </c>
      <c r="AL4" s="22" t="s">
        <v>153</v>
      </c>
      <c r="AM4" s="22" t="s">
        <v>154</v>
      </c>
      <c r="AN4" s="22" t="s">
        <v>155</v>
      </c>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25" t="s">
        <v>156</v>
      </c>
      <c r="BY4" s="25" t="s">
        <v>157</v>
      </c>
      <c r="BZ4" s="25" t="s">
        <v>158</v>
      </c>
      <c r="CA4" s="25" t="s">
        <v>159</v>
      </c>
      <c r="CB4" s="25" t="s">
        <v>160</v>
      </c>
      <c r="CC4" s="25" t="s">
        <v>161</v>
      </c>
      <c r="CD4" s="25" t="s">
        <v>162</v>
      </c>
      <c r="CE4" s="25" t="s">
        <v>163</v>
      </c>
      <c r="CF4" s="25" t="s">
        <v>164</v>
      </c>
      <c r="CG4" s="25" t="s">
        <v>156</v>
      </c>
      <c r="CH4" s="25" t="s">
        <v>157</v>
      </c>
      <c r="CI4" s="25" t="s">
        <v>158</v>
      </c>
      <c r="CJ4" s="25" t="s">
        <v>159</v>
      </c>
      <c r="CK4" s="25" t="s">
        <v>160</v>
      </c>
      <c r="CL4" s="25" t="s">
        <v>161</v>
      </c>
      <c r="CM4" s="25" t="s">
        <v>162</v>
      </c>
      <c r="CN4" s="25" t="s">
        <v>163</v>
      </c>
      <c r="CO4" s="25" t="s">
        <v>165</v>
      </c>
      <c r="CP4" s="41"/>
      <c r="CQ4" s="41"/>
      <c r="CR4" s="41"/>
      <c r="CS4" s="41"/>
      <c r="CT4" s="41"/>
      <c r="CU4" s="41"/>
      <c r="CV4" s="41"/>
      <c r="CW4" s="41"/>
      <c r="CX4" s="41"/>
      <c r="CY4" s="41"/>
      <c r="CZ4" s="41"/>
      <c r="DA4" s="41"/>
      <c r="DB4" s="41"/>
      <c r="DC4" s="41"/>
      <c r="DD4" s="41"/>
      <c r="DE4" s="41"/>
      <c r="DF4" s="41"/>
      <c r="DG4" s="41"/>
      <c r="DH4" s="41"/>
      <c r="DI4" s="41"/>
      <c r="DJ4" s="41"/>
      <c r="DK4" s="41"/>
      <c r="DL4" s="41"/>
      <c r="DM4" s="41"/>
      <c r="DN4" s="41"/>
      <c r="DO4" s="41"/>
      <c r="DP4" s="41"/>
      <c r="DQ4" s="41"/>
      <c r="DR4" s="41"/>
      <c r="DS4" s="41"/>
      <c r="DT4" s="41"/>
      <c r="DU4" s="41"/>
      <c r="DV4" s="41"/>
      <c r="DW4" s="41"/>
      <c r="DX4" s="26" t="s">
        <v>166</v>
      </c>
      <c r="DY4" s="26" t="s">
        <v>167</v>
      </c>
      <c r="DZ4" s="26" t="s">
        <v>168</v>
      </c>
      <c r="EA4" s="26" t="s">
        <v>169</v>
      </c>
      <c r="EB4" s="26" t="s">
        <v>166</v>
      </c>
      <c r="EC4" s="26" t="s">
        <v>167</v>
      </c>
      <c r="ED4" s="26" t="s">
        <v>168</v>
      </c>
      <c r="EE4" s="26" t="s">
        <v>170</v>
      </c>
      <c r="EF4" s="26" t="s">
        <v>166</v>
      </c>
      <c r="EG4" s="26" t="s">
        <v>167</v>
      </c>
      <c r="EH4" s="26" t="s">
        <v>168</v>
      </c>
      <c r="EI4" s="26" t="s">
        <v>171</v>
      </c>
      <c r="EJ4" s="26" t="s">
        <v>172</v>
      </c>
      <c r="EK4" s="26" t="s">
        <v>173</v>
      </c>
      <c r="EL4" s="26" t="s">
        <v>174</v>
      </c>
      <c r="EM4" s="26" t="s">
        <v>175</v>
      </c>
      <c r="EN4" s="26" t="s">
        <v>166</v>
      </c>
      <c r="EO4" s="26" t="s">
        <v>167</v>
      </c>
      <c r="EP4" s="26" t="s">
        <v>168</v>
      </c>
      <c r="EQ4" s="26" t="s">
        <v>176</v>
      </c>
      <c r="ER4" s="26" t="s">
        <v>177</v>
      </c>
      <c r="ES4" s="26" t="s">
        <v>166</v>
      </c>
      <c r="ET4" s="26" t="s">
        <v>167</v>
      </c>
      <c r="EU4" s="26" t="s">
        <v>168</v>
      </c>
      <c r="EV4" s="26" t="s">
        <v>178</v>
      </c>
      <c r="EW4" s="26" t="s">
        <v>166</v>
      </c>
      <c r="EX4" s="26" t="s">
        <v>167</v>
      </c>
      <c r="EY4" s="26" t="s">
        <v>168</v>
      </c>
      <c r="EZ4" s="26" t="s">
        <v>179</v>
      </c>
      <c r="FA4" s="21" t="s">
        <v>168</v>
      </c>
      <c r="FB4" s="21" t="s">
        <v>168</v>
      </c>
      <c r="FC4" s="21" t="s">
        <v>168</v>
      </c>
      <c r="FD4" s="21" t="s">
        <v>168</v>
      </c>
      <c r="FE4" s="21" t="s">
        <v>168</v>
      </c>
      <c r="FF4" s="21" t="s">
        <v>168</v>
      </c>
      <c r="FG4" s="21" t="s">
        <v>180</v>
      </c>
      <c r="FH4" s="21" t="s">
        <v>180</v>
      </c>
      <c r="FI4" s="27" t="s">
        <v>166</v>
      </c>
      <c r="FJ4" s="27" t="s">
        <v>167</v>
      </c>
      <c r="FK4" s="27" t="s">
        <v>168</v>
      </c>
      <c r="FL4" s="27" t="s">
        <v>181</v>
      </c>
      <c r="FM4" s="27" t="s">
        <v>182</v>
      </c>
      <c r="FN4" s="27" t="s">
        <v>166</v>
      </c>
      <c r="FO4" s="27" t="s">
        <v>167</v>
      </c>
      <c r="FP4" s="27" t="s">
        <v>168</v>
      </c>
      <c r="FQ4" s="27" t="s">
        <v>181</v>
      </c>
      <c r="FR4" s="27" t="s">
        <v>183</v>
      </c>
      <c r="FS4" s="27" t="s">
        <v>166</v>
      </c>
      <c r="FT4" s="27" t="s">
        <v>167</v>
      </c>
      <c r="FU4" s="27" t="s">
        <v>168</v>
      </c>
      <c r="FV4" s="27" t="s">
        <v>181</v>
      </c>
      <c r="FW4" s="27" t="s">
        <v>184</v>
      </c>
      <c r="FX4" s="27" t="s">
        <v>166</v>
      </c>
      <c r="FY4" s="27" t="s">
        <v>167</v>
      </c>
      <c r="FZ4" s="27" t="s">
        <v>168</v>
      </c>
      <c r="GA4" s="27" t="s">
        <v>181</v>
      </c>
      <c r="GB4" s="27" t="s">
        <v>185</v>
      </c>
      <c r="GC4" s="27" t="s">
        <v>166</v>
      </c>
      <c r="GD4" s="27" t="s">
        <v>167</v>
      </c>
      <c r="GE4" s="27" t="s">
        <v>168</v>
      </c>
      <c r="GF4" s="27" t="s">
        <v>181</v>
      </c>
      <c r="GG4" s="27" t="s">
        <v>186</v>
      </c>
      <c r="GH4" s="27" t="s">
        <v>187</v>
      </c>
      <c r="GI4" s="27" t="s">
        <v>188</v>
      </c>
      <c r="GJ4" s="27" t="s">
        <v>166</v>
      </c>
      <c r="GK4" s="27" t="s">
        <v>167</v>
      </c>
      <c r="GL4" s="27" t="s">
        <v>168</v>
      </c>
      <c r="GM4" s="27" t="s">
        <v>181</v>
      </c>
      <c r="GN4" s="27" t="s">
        <v>189</v>
      </c>
      <c r="GO4" s="27" t="s">
        <v>166</v>
      </c>
      <c r="GP4" s="27" t="s">
        <v>167</v>
      </c>
      <c r="GQ4" s="27" t="s">
        <v>168</v>
      </c>
      <c r="GR4" s="27" t="s">
        <v>181</v>
      </c>
      <c r="GS4" s="27" t="s">
        <v>190</v>
      </c>
      <c r="GT4" s="28" t="s">
        <v>191</v>
      </c>
      <c r="GU4" s="28" t="s">
        <v>192</v>
      </c>
      <c r="GV4" s="28" t="s">
        <v>193</v>
      </c>
      <c r="GW4" s="28" t="s">
        <v>194</v>
      </c>
      <c r="GX4" s="28" t="s">
        <v>195</v>
      </c>
      <c r="GY4" s="28" t="s">
        <v>191</v>
      </c>
      <c r="GZ4" s="28" t="s">
        <v>196</v>
      </c>
      <c r="HA4" s="28" t="s">
        <v>193</v>
      </c>
      <c r="HB4" s="28" t="s">
        <v>194</v>
      </c>
      <c r="HC4" s="28" t="s">
        <v>197</v>
      </c>
      <c r="HD4" s="28" t="s">
        <v>191</v>
      </c>
      <c r="HE4" s="28" t="s">
        <v>196</v>
      </c>
      <c r="HF4" s="28" t="s">
        <v>193</v>
      </c>
      <c r="HG4" s="28" t="s">
        <v>194</v>
      </c>
      <c r="HH4" s="28" t="s">
        <v>198</v>
      </c>
      <c r="HI4" s="28" t="s">
        <v>199</v>
      </c>
      <c r="HJ4" s="28" t="s">
        <v>192</v>
      </c>
      <c r="HK4" s="28" t="s">
        <v>193</v>
      </c>
      <c r="HL4" s="28" t="s">
        <v>194</v>
      </c>
      <c r="HM4" s="28" t="s">
        <v>200</v>
      </c>
      <c r="HN4" s="28" t="s">
        <v>199</v>
      </c>
      <c r="HO4" s="28" t="s">
        <v>192</v>
      </c>
      <c r="HP4" s="28" t="s">
        <v>193</v>
      </c>
      <c r="HQ4" s="28" t="s">
        <v>194</v>
      </c>
      <c r="HR4" s="28" t="s">
        <v>201</v>
      </c>
      <c r="HS4" s="28" t="s">
        <v>199</v>
      </c>
      <c r="HT4" s="28" t="s">
        <v>192</v>
      </c>
      <c r="HU4" s="28" t="s">
        <v>193</v>
      </c>
      <c r="HV4" s="28" t="s">
        <v>194</v>
      </c>
      <c r="HW4" s="28" t="s">
        <v>202</v>
      </c>
      <c r="HX4" s="28" t="s">
        <v>199</v>
      </c>
      <c r="HY4" s="28" t="s">
        <v>192</v>
      </c>
      <c r="HZ4" s="28" t="s">
        <v>193</v>
      </c>
      <c r="IA4" s="28" t="s">
        <v>194</v>
      </c>
      <c r="IB4" s="28" t="s">
        <v>203</v>
      </c>
      <c r="IC4" s="28" t="s">
        <v>204</v>
      </c>
      <c r="ID4" s="28" t="s">
        <v>192</v>
      </c>
      <c r="IE4" s="28" t="s">
        <v>193</v>
      </c>
      <c r="IF4" s="28" t="s">
        <v>194</v>
      </c>
      <c r="IG4" s="28" t="s">
        <v>205</v>
      </c>
      <c r="IH4" s="28" t="s">
        <v>199</v>
      </c>
      <c r="II4" s="28" t="s">
        <v>192</v>
      </c>
      <c r="IJ4" s="28" t="s">
        <v>193</v>
      </c>
      <c r="IK4" s="28" t="s">
        <v>194</v>
      </c>
      <c r="IL4" s="28" t="s">
        <v>206</v>
      </c>
      <c r="IM4" s="28" t="s">
        <v>199</v>
      </c>
      <c r="IN4" s="28" t="s">
        <v>192</v>
      </c>
      <c r="IO4" s="28" t="s">
        <v>193</v>
      </c>
      <c r="IP4" s="28" t="s">
        <v>194</v>
      </c>
      <c r="IQ4" s="28" t="s">
        <v>207</v>
      </c>
      <c r="IR4" s="28" t="s">
        <v>199</v>
      </c>
      <c r="IS4" s="28" t="s">
        <v>208</v>
      </c>
      <c r="IT4" s="28" t="s">
        <v>193</v>
      </c>
      <c r="IU4" s="28" t="s">
        <v>199</v>
      </c>
      <c r="IV4" s="28" t="s">
        <v>208</v>
      </c>
      <c r="IW4" s="28" t="s">
        <v>193</v>
      </c>
      <c r="IX4" s="41"/>
      <c r="IY4" s="41"/>
      <c r="IZ4" s="41"/>
      <c r="JA4" s="41"/>
      <c r="JB4" s="41"/>
      <c r="JC4" s="41"/>
      <c r="JD4" s="41"/>
      <c r="JE4" s="41"/>
      <c r="JF4" s="41"/>
    </row>
    <row r="5" spans="1:266" s="29" customFormat="1" ht="15.75" customHeight="1" x14ac:dyDescent="0.25">
      <c r="G5" s="29">
        <f>+E5*1000/2777677</f>
        <v>0</v>
      </c>
      <c r="X5" s="29" t="e">
        <f>+W5/AA5</f>
        <v>#DIV/0!</v>
      </c>
      <c r="AC5" s="29" t="e">
        <f>+AB5/AF5</f>
        <v>#DIV/0!</v>
      </c>
      <c r="AH5" s="29" t="e">
        <f>AG5/Q5</f>
        <v>#DIV/0!</v>
      </c>
      <c r="AJ5" s="29" t="e">
        <f>+AI5/U5</f>
        <v>#DIV/0!</v>
      </c>
      <c r="AL5" s="29" t="e">
        <f>AK5/(Q5+U5)</f>
        <v>#DIV/0!</v>
      </c>
      <c r="AM5" s="29" t="e">
        <f>+AG5/AK5</f>
        <v>#DIV/0!</v>
      </c>
      <c r="AN5" s="29" t="e">
        <f>+AI5/AK5</f>
        <v>#DIV/0!</v>
      </c>
      <c r="AU5" s="29" t="e">
        <f>+AT5/AR5</f>
        <v>#DIV/0!</v>
      </c>
      <c r="AX5" s="29" t="e">
        <f>(AV5*100)/(AS5*Veri!$B$4)</f>
        <v>#DIV/0!</v>
      </c>
      <c r="AY5" s="29" t="e">
        <f>(AV5-(EI5+FW5+FC5))/((AS5-(DP5))*Veri!$B$4)</f>
        <v>#DIV/0!</v>
      </c>
      <c r="AZ5" s="29" t="e">
        <f>AV5/(AO5+AP5)</f>
        <v>#DIV/0!</v>
      </c>
      <c r="BA5" s="29" t="e">
        <f>(AS5*Veri!$B$4-AV5)/(AO5+AP5)</f>
        <v>#DIV/0!</v>
      </c>
      <c r="BB5" s="29" t="e">
        <f>(AO5+AP5)/AS5</f>
        <v>#DIV/0!</v>
      </c>
      <c r="BD5" s="29" t="e">
        <f>(Veri!$B$6*100)/(BC5*Veri!$B$4)</f>
        <v>#DIV/0!</v>
      </c>
      <c r="BF5" s="29" t="e">
        <f>(Veri!$B$7*100)/(BE5*Veri!$B$4)</f>
        <v>#DIV/0!</v>
      </c>
      <c r="BG5" s="29" t="e">
        <f>(S5+T5)/BH5</f>
        <v>#DIV/0!</v>
      </c>
      <c r="BT5" s="29" t="e">
        <f>S5/BU5</f>
        <v>#DIV/0!</v>
      </c>
      <c r="BV5" s="29" t="e">
        <f>T5/BW5</f>
        <v>#DIV/0!</v>
      </c>
      <c r="CP5" s="29">
        <f>+CO5+CF5</f>
        <v>0</v>
      </c>
      <c r="CQ5" s="29">
        <f>+BX5+BY5+BZ5+CG5+CH5+CI5</f>
        <v>0</v>
      </c>
      <c r="CR5" s="29" t="e">
        <f>(CG5+CH5+CI5)/CP5</f>
        <v>#DIV/0!</v>
      </c>
      <c r="CS5" s="29" t="e">
        <f>(CQ5)/CP5</f>
        <v>#DIV/0!</v>
      </c>
      <c r="CT5" s="29" t="e">
        <f>+CQ5/(CW5*365)</f>
        <v>#DIV/0!</v>
      </c>
      <c r="CU5" s="29" t="e">
        <f>(CQ5*30)/(BW5*Veri!$B$4)</f>
        <v>#DIV/0!</v>
      </c>
      <c r="DJ5" s="29" t="e">
        <f>DI5/DF5</f>
        <v>#DIV/0!</v>
      </c>
      <c r="DL5" s="29" t="e">
        <f>(DK5/(DF5-0))</f>
        <v>#DIV/0!</v>
      </c>
      <c r="DN5" s="29" t="e">
        <f>DM5/DK5</f>
        <v>#DIV/0!</v>
      </c>
      <c r="DQ5" s="29" t="e">
        <f>(EI5+FC5+FW5)*100/(DP5*Veri!$B$4)</f>
        <v>#DIV/0!</v>
      </c>
      <c r="EA5" s="29">
        <f>SUM(DX5:DZ5)</f>
        <v>0</v>
      </c>
      <c r="EE5" s="29">
        <f>SUM(EB5:ED5)</f>
        <v>0</v>
      </c>
      <c r="EI5" s="29">
        <f>SUM(EF5:EH5)</f>
        <v>0</v>
      </c>
      <c r="ER5" s="29">
        <f>SUM(EN5:EP5)</f>
        <v>0</v>
      </c>
      <c r="EV5" s="29">
        <f>SUM(ES5:EU5)</f>
        <v>0</v>
      </c>
      <c r="EW5" s="29" t="e">
        <f>ES5/(EN5*Veri!$B$4)</f>
        <v>#DIV/0!</v>
      </c>
      <c r="EX5" s="29" t="e">
        <f>ET5/(EO5*Veri!$B$4)</f>
        <v>#DIV/0!</v>
      </c>
      <c r="EY5" s="29" t="e">
        <f>EU5/(EP5*Veri!$B$4)</f>
        <v>#DIV/0!</v>
      </c>
      <c r="EZ5" s="29" t="e">
        <f>EV5/(ER5*Veri!$B$4)</f>
        <v>#DIV/0!</v>
      </c>
      <c r="FD5" s="29" t="e">
        <f>FC5/(FA5*Veri!$B$4)</f>
        <v>#DIV/0!</v>
      </c>
      <c r="FH5" s="29" t="e">
        <f>FG5/(FF5*Veri!$B$4)</f>
        <v>#DIV/0!</v>
      </c>
      <c r="FM5" s="29">
        <f>SUM(FI5:FL5)</f>
        <v>0</v>
      </c>
      <c r="FR5" s="29">
        <f>SUM(FN5:FQ5)</f>
        <v>0</v>
      </c>
      <c r="FX5" s="29" t="e">
        <f>+FS5/(FI5*Veri!$B$4)</f>
        <v>#DIV/0!</v>
      </c>
      <c r="FY5" s="29" t="e">
        <f>+FT5/(FJ5*Veri!$B$4)</f>
        <v>#DIV/0!</v>
      </c>
      <c r="FZ5" s="29" t="e">
        <f>+FU5/(FK5*Veri!$B$4)</f>
        <v>#DIV/0!</v>
      </c>
      <c r="GA5" s="29" t="e">
        <f>+FV5/(FL5*Veri!$B$4)</f>
        <v>#DIV/0!</v>
      </c>
      <c r="GB5" s="29" t="e">
        <f>+FW5/(FM5*Veri!$B$4)</f>
        <v>#DIV/0!</v>
      </c>
      <c r="GI5" s="29">
        <f>SUM(GC5:GG5)</f>
        <v>0</v>
      </c>
      <c r="GN5" s="29">
        <f>SUM(GJ5:GM5)</f>
        <v>0</v>
      </c>
      <c r="GO5" s="29" t="e">
        <f>+GJ5/(GC5*Veri!$B$4)</f>
        <v>#DIV/0!</v>
      </c>
      <c r="GP5" s="29" t="e">
        <f>+GK5/(GD5*Veri!$B$4)</f>
        <v>#DIV/0!</v>
      </c>
      <c r="GQ5" s="29" t="e">
        <f>+GL5/(GE5*Veri!$B$4)</f>
        <v>#DIV/0!</v>
      </c>
      <c r="GR5" s="29" t="e">
        <f>+GM5/(GF5*Veri!$B$4)</f>
        <v>#DIV/0!</v>
      </c>
      <c r="GS5" s="29" t="e">
        <f>+GN5/(GI5*Veri!$B$4)</f>
        <v>#DIV/0!</v>
      </c>
      <c r="GT5" s="36"/>
      <c r="GV5" s="36"/>
      <c r="GW5" s="29">
        <v>0</v>
      </c>
      <c r="GX5" s="29" t="e">
        <f>GU5/$C$5</f>
        <v>#DIV/0!</v>
      </c>
      <c r="GY5" s="36"/>
      <c r="HA5" s="36"/>
      <c r="HB5" s="29">
        <v>0</v>
      </c>
      <c r="HC5" s="29" t="e">
        <f>GZ5/$C$5</f>
        <v>#DIV/0!</v>
      </c>
      <c r="HD5" s="36"/>
      <c r="HF5" s="36"/>
      <c r="HG5" s="29">
        <v>0</v>
      </c>
      <c r="HH5" s="29" t="e">
        <f>HE5/$C$5</f>
        <v>#DIV/0!</v>
      </c>
      <c r="HI5" s="36"/>
      <c r="HK5" s="36"/>
      <c r="HL5" s="29">
        <v>0</v>
      </c>
      <c r="HM5" s="29" t="e">
        <f>HJ5/$C$5</f>
        <v>#DIV/0!</v>
      </c>
      <c r="HN5" s="36"/>
      <c r="HP5" s="36"/>
      <c r="HQ5" s="29">
        <v>0</v>
      </c>
      <c r="HR5" s="29" t="e">
        <f>HO5/$C$5</f>
        <v>#DIV/0!</v>
      </c>
      <c r="HS5" s="36"/>
      <c r="HU5" s="36"/>
      <c r="HV5" s="29">
        <v>0</v>
      </c>
      <c r="HW5" s="29" t="e">
        <f>HT5/$C$5</f>
        <v>#DIV/0!</v>
      </c>
      <c r="HX5" s="36"/>
      <c r="HZ5" s="36"/>
      <c r="IA5" s="29">
        <v>0</v>
      </c>
      <c r="IB5" s="29" t="e">
        <f>HY5/$C$5</f>
        <v>#DIV/0!</v>
      </c>
      <c r="IC5" s="36"/>
      <c r="IE5" s="36"/>
      <c r="IF5" s="29">
        <v>0</v>
      </c>
      <c r="IG5" s="29" t="e">
        <f>ID5/$C$5</f>
        <v>#DIV/0!</v>
      </c>
      <c r="IH5" s="36"/>
      <c r="IJ5" s="36"/>
      <c r="IK5" s="29">
        <v>0</v>
      </c>
      <c r="IL5" s="29" t="e">
        <f>II5/$C$5</f>
        <v>#DIV/0!</v>
      </c>
      <c r="IM5" s="36"/>
      <c r="IO5" s="36"/>
      <c r="IP5" s="29">
        <v>0</v>
      </c>
      <c r="IQ5" s="29" t="e">
        <f>IN5/$C$5</f>
        <v>#DIV/0!</v>
      </c>
      <c r="IR5" s="36"/>
      <c r="IT5" s="36"/>
      <c r="IU5" s="36"/>
      <c r="IW5" s="36"/>
      <c r="IX5" s="36"/>
      <c r="IY5" s="36"/>
    </row>
    <row r="6" spans="1:266" s="29" customFormat="1" ht="15.75" customHeight="1" x14ac:dyDescent="0.25">
      <c r="C6" s="30" t="s">
        <v>214</v>
      </c>
      <c r="D6" s="30" t="s">
        <v>277</v>
      </c>
      <c r="E6" s="30" t="s">
        <v>278</v>
      </c>
      <c r="F6" s="30" t="s">
        <v>281</v>
      </c>
      <c r="G6" s="30" t="s">
        <v>279</v>
      </c>
      <c r="H6" s="30" t="s">
        <v>284</v>
      </c>
      <c r="K6" s="30" t="s">
        <v>285</v>
      </c>
      <c r="S6" s="30" t="s">
        <v>287</v>
      </c>
      <c r="W6" s="30" t="s">
        <v>370</v>
      </c>
      <c r="AG6" s="30" t="s">
        <v>221</v>
      </c>
      <c r="AH6" s="30" t="s">
        <v>373</v>
      </c>
      <c r="AI6" s="30" t="s">
        <v>371</v>
      </c>
      <c r="AJ6" s="30" t="s">
        <v>372</v>
      </c>
      <c r="AL6" s="30" t="s">
        <v>374</v>
      </c>
      <c r="AM6" s="32" t="s">
        <v>376</v>
      </c>
      <c r="AN6" s="32" t="s">
        <v>375</v>
      </c>
      <c r="AO6" s="32" t="s">
        <v>377</v>
      </c>
      <c r="AQ6" s="30" t="s">
        <v>378</v>
      </c>
      <c r="AR6" s="30" t="s">
        <v>379</v>
      </c>
      <c r="AS6" s="30" t="s">
        <v>380</v>
      </c>
      <c r="AU6" s="30" t="s">
        <v>381</v>
      </c>
      <c r="AX6" s="30" t="s">
        <v>382</v>
      </c>
      <c r="AY6" s="30" t="s">
        <v>386</v>
      </c>
      <c r="AZ6" s="30" t="s">
        <v>387</v>
      </c>
      <c r="BA6" s="30" t="s">
        <v>388</v>
      </c>
      <c r="BB6" s="30" t="s">
        <v>389</v>
      </c>
      <c r="BD6" s="30" t="s">
        <v>390</v>
      </c>
      <c r="BF6" s="30" t="s">
        <v>391</v>
      </c>
      <c r="BG6" s="30" t="s">
        <v>451</v>
      </c>
      <c r="BH6" s="30" t="s">
        <v>394</v>
      </c>
      <c r="BR6" s="30" t="s">
        <v>395</v>
      </c>
      <c r="BS6" s="30" t="s">
        <v>396</v>
      </c>
      <c r="BT6" s="30" t="s">
        <v>452</v>
      </c>
      <c r="BV6" s="30" t="s">
        <v>453</v>
      </c>
      <c r="BX6" s="29" t="s">
        <v>231</v>
      </c>
      <c r="CC6" s="29" t="s">
        <v>237</v>
      </c>
      <c r="CR6" s="30" t="s">
        <v>454</v>
      </c>
      <c r="CS6" s="30" t="s">
        <v>455</v>
      </c>
      <c r="CT6" s="30" t="s">
        <v>456</v>
      </c>
      <c r="CU6" s="30" t="s">
        <v>457</v>
      </c>
      <c r="DJ6" s="30" t="s">
        <v>458</v>
      </c>
      <c r="DL6" s="30" t="s">
        <v>459</v>
      </c>
      <c r="DN6" s="30" t="s">
        <v>460</v>
      </c>
      <c r="DP6" s="29" t="s">
        <v>246</v>
      </c>
      <c r="DQ6" s="30" t="s">
        <v>461</v>
      </c>
      <c r="JA6" s="29" t="s">
        <v>465</v>
      </c>
    </row>
    <row r="7" spans="1:266" s="29" customFormat="1" ht="15.75" customHeight="1" x14ac:dyDescent="0.25">
      <c r="C7" s="29" t="s">
        <v>209</v>
      </c>
      <c r="F7" s="29" t="s">
        <v>280</v>
      </c>
      <c r="W7" s="29" t="s">
        <v>366</v>
      </c>
      <c r="AG7" s="29" t="s">
        <v>215</v>
      </c>
      <c r="BX7" s="29" t="s">
        <v>232</v>
      </c>
      <c r="CC7" s="29" t="s">
        <v>238</v>
      </c>
      <c r="DP7" s="29" t="s">
        <v>247</v>
      </c>
    </row>
    <row r="8" spans="1:266" s="29" customFormat="1" ht="15.75" customHeight="1" x14ac:dyDescent="0.25">
      <c r="C8" s="29" t="s">
        <v>210</v>
      </c>
      <c r="G8" s="30" t="s">
        <v>283</v>
      </c>
      <c r="K8" s="30" t="s">
        <v>286</v>
      </c>
      <c r="S8" s="30" t="s">
        <v>288</v>
      </c>
      <c r="V8" s="30" t="s">
        <v>365</v>
      </c>
      <c r="W8" s="29" t="s">
        <v>367</v>
      </c>
      <c r="AG8" s="29" t="s">
        <v>216</v>
      </c>
      <c r="BR8" s="32" t="s">
        <v>410</v>
      </c>
      <c r="BS8" s="32" t="s">
        <v>441</v>
      </c>
      <c r="BX8" s="29" t="s">
        <v>233</v>
      </c>
      <c r="CC8" s="29" t="s">
        <v>239</v>
      </c>
      <c r="DP8" s="29" t="s">
        <v>248</v>
      </c>
      <c r="DQ8" s="30" t="s">
        <v>462</v>
      </c>
    </row>
    <row r="9" spans="1:266" s="29" customFormat="1" ht="15.75" customHeight="1" x14ac:dyDescent="0.25">
      <c r="C9" s="29" t="s">
        <v>211</v>
      </c>
      <c r="G9" s="29" t="s">
        <v>282</v>
      </c>
      <c r="S9" s="30" t="s">
        <v>364</v>
      </c>
      <c r="W9" s="29" t="s">
        <v>368</v>
      </c>
      <c r="AG9" s="31" t="s">
        <v>219</v>
      </c>
      <c r="AH9"/>
      <c r="BR9" s="32" t="s">
        <v>436</v>
      </c>
      <c r="BS9" s="32" t="s">
        <v>446</v>
      </c>
      <c r="BX9" s="29" t="s">
        <v>234</v>
      </c>
      <c r="CC9" s="29" t="s">
        <v>240</v>
      </c>
      <c r="DP9" s="29" t="s">
        <v>249</v>
      </c>
    </row>
    <row r="10" spans="1:266" ht="18" x14ac:dyDescent="0.25">
      <c r="C10" t="s">
        <v>212</v>
      </c>
      <c r="S10" s="33"/>
      <c r="W10" t="s">
        <v>369</v>
      </c>
      <c r="AG10" s="29" t="s">
        <v>217</v>
      </c>
      <c r="AH10">
        <v>1</v>
      </c>
      <c r="BR10" s="32" t="s">
        <v>420</v>
      </c>
      <c r="BS10" s="32" t="s">
        <v>449</v>
      </c>
      <c r="BX10" t="s">
        <v>235</v>
      </c>
      <c r="CC10" t="s">
        <v>241</v>
      </c>
      <c r="DP10" t="s">
        <v>262</v>
      </c>
      <c r="DQ10" s="32" t="s">
        <v>463</v>
      </c>
    </row>
    <row r="11" spans="1:266" ht="18" x14ac:dyDescent="0.25">
      <c r="C11" t="s">
        <v>213</v>
      </c>
      <c r="S11" s="33" t="s">
        <v>289</v>
      </c>
      <c r="AG11" t="s">
        <v>218</v>
      </c>
      <c r="AH11">
        <v>3</v>
      </c>
      <c r="BR11" s="32" t="s">
        <v>411</v>
      </c>
      <c r="BS11" s="32" t="s">
        <v>450</v>
      </c>
      <c r="BX11" t="s">
        <v>236</v>
      </c>
      <c r="CC11" t="s">
        <v>242</v>
      </c>
    </row>
    <row r="12" spans="1:266" x14ac:dyDescent="0.25">
      <c r="S12" s="34" t="s">
        <v>290</v>
      </c>
      <c r="AG12" s="31" t="s">
        <v>220</v>
      </c>
      <c r="BR12" s="32" t="s">
        <v>413</v>
      </c>
      <c r="BS12" s="32" t="s">
        <v>437</v>
      </c>
      <c r="CC12" t="s">
        <v>243</v>
      </c>
      <c r="DP12" t="s">
        <v>250</v>
      </c>
      <c r="DQ12" s="32" t="s">
        <v>464</v>
      </c>
    </row>
    <row r="13" spans="1:266" x14ac:dyDescent="0.25">
      <c r="C13" s="32" t="s">
        <v>276</v>
      </c>
      <c r="S13" s="34"/>
      <c r="AG13" s="29" t="s">
        <v>217</v>
      </c>
      <c r="AH13">
        <v>0</v>
      </c>
      <c r="BR13" s="32" t="s">
        <v>414</v>
      </c>
      <c r="BS13" s="32" t="s">
        <v>445</v>
      </c>
      <c r="CC13" t="s">
        <v>244</v>
      </c>
      <c r="DP13" t="s">
        <v>251</v>
      </c>
    </row>
    <row r="14" spans="1:266" x14ac:dyDescent="0.25">
      <c r="S14" s="34" t="s">
        <v>291</v>
      </c>
      <c r="AG14" t="s">
        <v>218</v>
      </c>
      <c r="AH14">
        <v>4</v>
      </c>
      <c r="BR14" s="32" t="s">
        <v>433</v>
      </c>
      <c r="BS14" s="32" t="s">
        <v>440</v>
      </c>
      <c r="CC14" t="s">
        <v>245</v>
      </c>
      <c r="DP14" t="s">
        <v>252</v>
      </c>
    </row>
    <row r="15" spans="1:266" x14ac:dyDescent="0.25">
      <c r="S15" s="34"/>
      <c r="BR15" s="32" t="s">
        <v>397</v>
      </c>
      <c r="BS15" s="32" t="s">
        <v>442</v>
      </c>
      <c r="DP15" t="s">
        <v>253</v>
      </c>
    </row>
    <row r="16" spans="1:266" x14ac:dyDescent="0.25">
      <c r="S16" s="34" t="s">
        <v>292</v>
      </c>
      <c r="AG16" t="s">
        <v>222</v>
      </c>
      <c r="BR16" s="32" t="s">
        <v>412</v>
      </c>
      <c r="BS16" s="32" t="s">
        <v>444</v>
      </c>
      <c r="DP16" t="s">
        <v>254</v>
      </c>
    </row>
    <row r="17" spans="19:120" x14ac:dyDescent="0.25">
      <c r="S17" s="34"/>
      <c r="AG17" t="s">
        <v>223</v>
      </c>
      <c r="BR17" s="32" t="s">
        <v>398</v>
      </c>
      <c r="BS17" s="32" t="s">
        <v>438</v>
      </c>
      <c r="DP17" t="s">
        <v>255</v>
      </c>
    </row>
    <row r="18" spans="19:120" x14ac:dyDescent="0.25">
      <c r="S18" s="34" t="s">
        <v>293</v>
      </c>
      <c r="AG18" t="s">
        <v>224</v>
      </c>
      <c r="BR18" s="32" t="s">
        <v>415</v>
      </c>
      <c r="BS18" s="32" t="s">
        <v>439</v>
      </c>
      <c r="DP18" t="s">
        <v>256</v>
      </c>
    </row>
    <row r="19" spans="19:120" x14ac:dyDescent="0.25">
      <c r="S19" s="34"/>
      <c r="AG19" t="s">
        <v>225</v>
      </c>
      <c r="BR19" s="32" t="s">
        <v>399</v>
      </c>
      <c r="BS19" s="32" t="s">
        <v>448</v>
      </c>
      <c r="DP19" t="s">
        <v>257</v>
      </c>
    </row>
    <row r="20" spans="19:120" x14ac:dyDescent="0.25">
      <c r="S20" s="34" t="s">
        <v>294</v>
      </c>
      <c r="AG20" t="s">
        <v>226</v>
      </c>
      <c r="BR20" s="32" t="s">
        <v>400</v>
      </c>
      <c r="BS20" s="32" t="s">
        <v>443</v>
      </c>
      <c r="DP20" t="s">
        <v>258</v>
      </c>
    </row>
    <row r="21" spans="19:120" x14ac:dyDescent="0.25">
      <c r="S21" s="34"/>
      <c r="AG21" t="s">
        <v>227</v>
      </c>
      <c r="BR21" s="32" t="s">
        <v>430</v>
      </c>
      <c r="BS21" s="32" t="s">
        <v>447</v>
      </c>
      <c r="DP21" t="s">
        <v>259</v>
      </c>
    </row>
    <row r="22" spans="19:120" x14ac:dyDescent="0.25">
      <c r="S22" s="34" t="s">
        <v>295</v>
      </c>
      <c r="AG22" t="s">
        <v>228</v>
      </c>
      <c r="BR22" s="32" t="s">
        <v>401</v>
      </c>
      <c r="BS22" s="32"/>
      <c r="DP22" t="s">
        <v>260</v>
      </c>
    </row>
    <row r="23" spans="19:120" x14ac:dyDescent="0.25">
      <c r="S23" s="34"/>
      <c r="AG23" t="s">
        <v>229</v>
      </c>
      <c r="BR23" s="32" t="s">
        <v>422</v>
      </c>
      <c r="BS23" s="32"/>
      <c r="DP23" t="s">
        <v>261</v>
      </c>
    </row>
    <row r="24" spans="19:120" x14ac:dyDescent="0.25">
      <c r="S24" s="34" t="s">
        <v>296</v>
      </c>
      <c r="AG24" t="s">
        <v>230</v>
      </c>
      <c r="BR24" s="32" t="s">
        <v>416</v>
      </c>
      <c r="BS24" s="32"/>
    </row>
    <row r="25" spans="19:120" x14ac:dyDescent="0.25">
      <c r="S25" s="34"/>
      <c r="BR25" s="32" t="s">
        <v>429</v>
      </c>
      <c r="BS25" s="32"/>
      <c r="DP25" t="s">
        <v>263</v>
      </c>
    </row>
    <row r="26" spans="19:120" x14ac:dyDescent="0.25">
      <c r="S26" s="34" t="s">
        <v>297</v>
      </c>
      <c r="BR26" s="32" t="s">
        <v>403</v>
      </c>
      <c r="BS26" s="32"/>
      <c r="DP26" t="s">
        <v>264</v>
      </c>
    </row>
    <row r="27" spans="19:120" x14ac:dyDescent="0.25">
      <c r="S27" s="34"/>
      <c r="BR27" s="32" t="s">
        <v>404</v>
      </c>
      <c r="BS27" s="32"/>
      <c r="DP27" t="s">
        <v>265</v>
      </c>
    </row>
    <row r="28" spans="19:120" x14ac:dyDescent="0.25">
      <c r="S28" s="34" t="s">
        <v>298</v>
      </c>
      <c r="BR28" s="32" t="s">
        <v>431</v>
      </c>
      <c r="BS28" s="32"/>
      <c r="DP28" t="s">
        <v>266</v>
      </c>
    </row>
    <row r="29" spans="19:120" x14ac:dyDescent="0.25">
      <c r="S29" s="34"/>
      <c r="BR29" s="32" t="s">
        <v>417</v>
      </c>
      <c r="BS29" s="32"/>
      <c r="DP29" t="s">
        <v>267</v>
      </c>
    </row>
    <row r="30" spans="19:120" x14ac:dyDescent="0.25">
      <c r="S30" s="34" t="s">
        <v>299</v>
      </c>
      <c r="BR30" s="32" t="s">
        <v>402</v>
      </c>
      <c r="BS30" s="32"/>
      <c r="DP30" t="s">
        <v>268</v>
      </c>
    </row>
    <row r="31" spans="19:120" x14ac:dyDescent="0.25">
      <c r="S31" s="34"/>
      <c r="BR31" s="32" t="s">
        <v>408</v>
      </c>
      <c r="BS31" s="32"/>
      <c r="DP31" t="s">
        <v>245</v>
      </c>
    </row>
    <row r="32" spans="19:120" x14ac:dyDescent="0.25">
      <c r="S32" s="34" t="s">
        <v>300</v>
      </c>
      <c r="BR32" s="32" t="s">
        <v>428</v>
      </c>
      <c r="BS32" s="32"/>
    </row>
    <row r="33" spans="19:120" x14ac:dyDescent="0.25">
      <c r="S33" s="34"/>
      <c r="BR33" s="32" t="s">
        <v>405</v>
      </c>
      <c r="BS33" s="32"/>
      <c r="DP33" t="s">
        <v>269</v>
      </c>
    </row>
    <row r="34" spans="19:120" x14ac:dyDescent="0.25">
      <c r="S34" s="34" t="s">
        <v>301</v>
      </c>
      <c r="BR34" s="32" t="s">
        <v>418</v>
      </c>
      <c r="BS34" s="32"/>
      <c r="DP34" t="s">
        <v>270</v>
      </c>
    </row>
    <row r="35" spans="19:120" x14ac:dyDescent="0.25">
      <c r="S35" s="34"/>
      <c r="BR35" s="32" t="s">
        <v>419</v>
      </c>
      <c r="DP35" t="s">
        <v>271</v>
      </c>
    </row>
    <row r="36" spans="19:120" x14ac:dyDescent="0.25">
      <c r="S36" s="34" t="s">
        <v>302</v>
      </c>
      <c r="BR36" s="32" t="s">
        <v>407</v>
      </c>
      <c r="DP36" t="s">
        <v>272</v>
      </c>
    </row>
    <row r="37" spans="19:120" x14ac:dyDescent="0.25">
      <c r="S37" s="34"/>
      <c r="BR37" s="32" t="s">
        <v>421</v>
      </c>
      <c r="DP37" t="s">
        <v>273</v>
      </c>
    </row>
    <row r="38" spans="19:120" x14ac:dyDescent="0.25">
      <c r="S38" s="34" t="s">
        <v>303</v>
      </c>
      <c r="BR38" s="32" t="s">
        <v>427</v>
      </c>
      <c r="DP38" t="s">
        <v>274</v>
      </c>
    </row>
    <row r="39" spans="19:120" x14ac:dyDescent="0.25">
      <c r="S39" s="34"/>
      <c r="BR39" s="32" t="s">
        <v>432</v>
      </c>
      <c r="DP39" t="s">
        <v>275</v>
      </c>
    </row>
    <row r="40" spans="19:120" x14ac:dyDescent="0.25">
      <c r="S40" s="34" t="s">
        <v>304</v>
      </c>
      <c r="BR40" s="32" t="s">
        <v>409</v>
      </c>
    </row>
    <row r="41" spans="19:120" x14ac:dyDescent="0.25">
      <c r="S41" s="34"/>
      <c r="BR41" s="32" t="s">
        <v>406</v>
      </c>
    </row>
    <row r="42" spans="19:120" x14ac:dyDescent="0.25">
      <c r="S42" s="34" t="s">
        <v>305</v>
      </c>
      <c r="BR42" s="32" t="s">
        <v>426</v>
      </c>
    </row>
    <row r="43" spans="19:120" x14ac:dyDescent="0.25">
      <c r="S43" s="34"/>
      <c r="BR43" s="32" t="s">
        <v>425</v>
      </c>
    </row>
    <row r="44" spans="19:120" x14ac:dyDescent="0.25">
      <c r="S44" s="34" t="s">
        <v>306</v>
      </c>
      <c r="BR44" s="32" t="s">
        <v>434</v>
      </c>
    </row>
    <row r="45" spans="19:120" x14ac:dyDescent="0.25">
      <c r="S45" s="34"/>
      <c r="BR45" s="32" t="s">
        <v>424</v>
      </c>
    </row>
    <row r="46" spans="19:120" x14ac:dyDescent="0.25">
      <c r="S46" s="34" t="s">
        <v>307</v>
      </c>
      <c r="BR46" s="32" t="s">
        <v>423</v>
      </c>
    </row>
    <row r="47" spans="19:120" x14ac:dyDescent="0.25">
      <c r="S47" s="34"/>
      <c r="BR47" s="32" t="s">
        <v>435</v>
      </c>
    </row>
    <row r="48" spans="19:120" x14ac:dyDescent="0.25">
      <c r="S48" s="34" t="s">
        <v>308</v>
      </c>
      <c r="BR48" s="32"/>
    </row>
    <row r="49" spans="19:70" x14ac:dyDescent="0.25">
      <c r="S49" s="34"/>
      <c r="BR49" s="32"/>
    </row>
    <row r="50" spans="19:70" x14ac:dyDescent="0.25">
      <c r="S50" s="34" t="s">
        <v>309</v>
      </c>
      <c r="BR50" s="32"/>
    </row>
    <row r="51" spans="19:70" x14ac:dyDescent="0.25">
      <c r="BR51" s="32"/>
    </row>
    <row r="52" spans="19:70" x14ac:dyDescent="0.25">
      <c r="BR52" s="32"/>
    </row>
    <row r="53" spans="19:70" x14ac:dyDescent="0.25">
      <c r="BR53" s="32"/>
    </row>
    <row r="54" spans="19:70" ht="18" x14ac:dyDescent="0.25">
      <c r="S54" s="33" t="s">
        <v>310</v>
      </c>
      <c r="BR54" s="32"/>
    </row>
    <row r="55" spans="19:70" x14ac:dyDescent="0.25">
      <c r="S55" s="34"/>
      <c r="BR55" s="32"/>
    </row>
    <row r="56" spans="19:70" x14ac:dyDescent="0.25">
      <c r="S56" s="34" t="s">
        <v>311</v>
      </c>
      <c r="BR56" s="32"/>
    </row>
    <row r="57" spans="19:70" x14ac:dyDescent="0.25">
      <c r="S57" s="34"/>
      <c r="BR57" s="32"/>
    </row>
    <row r="58" spans="19:70" x14ac:dyDescent="0.25">
      <c r="S58" s="34" t="s">
        <v>312</v>
      </c>
      <c r="BR58" s="32"/>
    </row>
    <row r="59" spans="19:70" x14ac:dyDescent="0.25">
      <c r="S59" s="34"/>
      <c r="BR59" s="32"/>
    </row>
    <row r="60" spans="19:70" x14ac:dyDescent="0.25">
      <c r="S60" s="34" t="s">
        <v>313</v>
      </c>
      <c r="BR60" s="32"/>
    </row>
    <row r="61" spans="19:70" x14ac:dyDescent="0.25">
      <c r="S61" s="34"/>
      <c r="BR61" s="32"/>
    </row>
    <row r="62" spans="19:70" x14ac:dyDescent="0.25">
      <c r="S62" s="34" t="s">
        <v>314</v>
      </c>
      <c r="BR62" s="32"/>
    </row>
    <row r="63" spans="19:70" x14ac:dyDescent="0.25">
      <c r="S63" s="34"/>
      <c r="BR63" s="32"/>
    </row>
    <row r="64" spans="19:70" x14ac:dyDescent="0.25">
      <c r="S64" s="34" t="s">
        <v>315</v>
      </c>
      <c r="BR64" s="32"/>
    </row>
    <row r="65" spans="19:70" x14ac:dyDescent="0.25">
      <c r="S65" s="34"/>
      <c r="BR65" s="32"/>
    </row>
    <row r="66" spans="19:70" x14ac:dyDescent="0.25">
      <c r="S66" s="34" t="s">
        <v>316</v>
      </c>
      <c r="BR66" s="32"/>
    </row>
    <row r="67" spans="19:70" x14ac:dyDescent="0.25">
      <c r="S67" s="34"/>
      <c r="BR67" s="32"/>
    </row>
    <row r="68" spans="19:70" x14ac:dyDescent="0.25">
      <c r="S68" s="34" t="s">
        <v>317</v>
      </c>
      <c r="BR68" s="32"/>
    </row>
    <row r="69" spans="19:70" x14ac:dyDescent="0.25">
      <c r="S69" s="34"/>
      <c r="BR69" s="32"/>
    </row>
    <row r="70" spans="19:70" x14ac:dyDescent="0.25">
      <c r="S70" s="34" t="s">
        <v>318</v>
      </c>
      <c r="BR70" s="32"/>
    </row>
    <row r="71" spans="19:70" x14ac:dyDescent="0.25">
      <c r="S71" s="34"/>
      <c r="BR71" s="32"/>
    </row>
    <row r="72" spans="19:70" x14ac:dyDescent="0.25">
      <c r="S72" s="34" t="s">
        <v>319</v>
      </c>
      <c r="BR72" s="32"/>
    </row>
    <row r="73" spans="19:70" x14ac:dyDescent="0.25">
      <c r="S73" s="34"/>
      <c r="BR73" s="32"/>
    </row>
    <row r="74" spans="19:70" x14ac:dyDescent="0.25">
      <c r="S74" s="34" t="s">
        <v>320</v>
      </c>
      <c r="BR74" s="32"/>
    </row>
    <row r="75" spans="19:70" x14ac:dyDescent="0.25">
      <c r="S75" s="34"/>
      <c r="BR75" s="32"/>
    </row>
    <row r="76" spans="19:70" x14ac:dyDescent="0.25">
      <c r="S76" s="34" t="s">
        <v>321</v>
      </c>
      <c r="BR76" s="32"/>
    </row>
    <row r="77" spans="19:70" x14ac:dyDescent="0.25">
      <c r="S77" s="34"/>
      <c r="BR77" s="32"/>
    </row>
    <row r="78" spans="19:70" x14ac:dyDescent="0.25">
      <c r="S78" s="34" t="s">
        <v>322</v>
      </c>
      <c r="BR78" s="32"/>
    </row>
    <row r="79" spans="19:70" x14ac:dyDescent="0.25">
      <c r="S79" s="34"/>
      <c r="BR79" s="32"/>
    </row>
    <row r="80" spans="19:70" x14ac:dyDescent="0.25">
      <c r="S80" s="34" t="s">
        <v>323</v>
      </c>
      <c r="BR80" s="32"/>
    </row>
    <row r="81" spans="19:70" x14ac:dyDescent="0.25">
      <c r="S81" s="34"/>
      <c r="BR81" s="32"/>
    </row>
    <row r="82" spans="19:70" x14ac:dyDescent="0.25">
      <c r="S82" s="34" t="s">
        <v>324</v>
      </c>
      <c r="BR82" s="32"/>
    </row>
    <row r="83" spans="19:70" x14ac:dyDescent="0.25">
      <c r="S83" s="34"/>
      <c r="BR83" s="32"/>
    </row>
    <row r="84" spans="19:70" x14ac:dyDescent="0.25">
      <c r="S84" s="34" t="s">
        <v>325</v>
      </c>
      <c r="BR84" s="32"/>
    </row>
    <row r="85" spans="19:70" x14ac:dyDescent="0.25">
      <c r="BR85" s="32"/>
    </row>
    <row r="86" spans="19:70" x14ac:dyDescent="0.25">
      <c r="S86" s="34" t="s">
        <v>326</v>
      </c>
      <c r="BR86" s="32"/>
    </row>
    <row r="87" spans="19:70" x14ac:dyDescent="0.25">
      <c r="S87" s="34"/>
    </row>
    <row r="88" spans="19:70" x14ac:dyDescent="0.25">
      <c r="S88" s="34" t="s">
        <v>327</v>
      </c>
    </row>
    <row r="89" spans="19:70" x14ac:dyDescent="0.25">
      <c r="S89" s="34"/>
    </row>
    <row r="90" spans="19:70" x14ac:dyDescent="0.25">
      <c r="S90" s="34" t="s">
        <v>328</v>
      </c>
    </row>
    <row r="91" spans="19:70" x14ac:dyDescent="0.25">
      <c r="S91" s="34"/>
    </row>
    <row r="92" spans="19:70" x14ac:dyDescent="0.25">
      <c r="S92" s="34" t="s">
        <v>329</v>
      </c>
    </row>
    <row r="93" spans="19:70" x14ac:dyDescent="0.25">
      <c r="S93" s="34"/>
    </row>
    <row r="94" spans="19:70" x14ac:dyDescent="0.25">
      <c r="S94" s="34" t="s">
        <v>330</v>
      </c>
    </row>
    <row r="95" spans="19:70" x14ac:dyDescent="0.25">
      <c r="S95" s="34"/>
    </row>
    <row r="96" spans="19:70" x14ac:dyDescent="0.25">
      <c r="S96" s="34" t="s">
        <v>331</v>
      </c>
    </row>
    <row r="97" spans="19:19" x14ac:dyDescent="0.25">
      <c r="S97" s="34"/>
    </row>
    <row r="98" spans="19:19" x14ac:dyDescent="0.25">
      <c r="S98" s="34" t="s">
        <v>332</v>
      </c>
    </row>
    <row r="99" spans="19:19" x14ac:dyDescent="0.25">
      <c r="S99" s="34"/>
    </row>
    <row r="100" spans="19:19" x14ac:dyDescent="0.25">
      <c r="S100" s="34" t="s">
        <v>333</v>
      </c>
    </row>
    <row r="101" spans="19:19" x14ac:dyDescent="0.25">
      <c r="S101" s="34"/>
    </row>
    <row r="102" spans="19:19" x14ac:dyDescent="0.25">
      <c r="S102" s="34" t="s">
        <v>334</v>
      </c>
    </row>
    <row r="103" spans="19:19" x14ac:dyDescent="0.25">
      <c r="S103" s="34"/>
    </row>
    <row r="104" spans="19:19" x14ac:dyDescent="0.25">
      <c r="S104" s="34" t="s">
        <v>335</v>
      </c>
    </row>
    <row r="105" spans="19:19" x14ac:dyDescent="0.25">
      <c r="S105" s="34"/>
    </row>
    <row r="106" spans="19:19" x14ac:dyDescent="0.25">
      <c r="S106" s="34" t="s">
        <v>336</v>
      </c>
    </row>
    <row r="107" spans="19:19" x14ac:dyDescent="0.25">
      <c r="S107" s="34"/>
    </row>
    <row r="108" spans="19:19" x14ac:dyDescent="0.25">
      <c r="S108" s="34" t="s">
        <v>337</v>
      </c>
    </row>
    <row r="109" spans="19:19" x14ac:dyDescent="0.25">
      <c r="S109" s="34"/>
    </row>
    <row r="110" spans="19:19" x14ac:dyDescent="0.25">
      <c r="S110" s="34" t="s">
        <v>338</v>
      </c>
    </row>
    <row r="111" spans="19:19" x14ac:dyDescent="0.25">
      <c r="S111" s="34"/>
    </row>
    <row r="112" spans="19:19" x14ac:dyDescent="0.25">
      <c r="S112" s="34" t="s">
        <v>339</v>
      </c>
    </row>
    <row r="113" spans="19:19" x14ac:dyDescent="0.25">
      <c r="S113" s="34"/>
    </row>
    <row r="114" spans="19:19" x14ac:dyDescent="0.25">
      <c r="S114" s="34" t="s">
        <v>340</v>
      </c>
    </row>
    <row r="115" spans="19:19" x14ac:dyDescent="0.25">
      <c r="S115" s="34"/>
    </row>
    <row r="116" spans="19:19" x14ac:dyDescent="0.25">
      <c r="S116" s="34" t="s">
        <v>341</v>
      </c>
    </row>
    <row r="117" spans="19:19" x14ac:dyDescent="0.25">
      <c r="S117" s="34"/>
    </row>
    <row r="118" spans="19:19" x14ac:dyDescent="0.25">
      <c r="S118" s="34" t="s">
        <v>342</v>
      </c>
    </row>
    <row r="119" spans="19:19" x14ac:dyDescent="0.25">
      <c r="S119" s="34"/>
    </row>
    <row r="120" spans="19:19" x14ac:dyDescent="0.25">
      <c r="S120" s="34" t="s">
        <v>343</v>
      </c>
    </row>
    <row r="121" spans="19:19" x14ac:dyDescent="0.25">
      <c r="S121" s="34"/>
    </row>
    <row r="122" spans="19:19" x14ac:dyDescent="0.25">
      <c r="S122" s="34" t="s">
        <v>344</v>
      </c>
    </row>
    <row r="123" spans="19:19" x14ac:dyDescent="0.25">
      <c r="S123" s="34"/>
    </row>
    <row r="124" spans="19:19" x14ac:dyDescent="0.25">
      <c r="S124" s="34" t="s">
        <v>345</v>
      </c>
    </row>
    <row r="125" spans="19:19" x14ac:dyDescent="0.25">
      <c r="S125" s="34"/>
    </row>
    <row r="126" spans="19:19" x14ac:dyDescent="0.25">
      <c r="S126" s="34" t="s">
        <v>346</v>
      </c>
    </row>
    <row r="127" spans="19:19" x14ac:dyDescent="0.25">
      <c r="S127" s="34"/>
    </row>
    <row r="128" spans="19:19" x14ac:dyDescent="0.25">
      <c r="S128" s="34" t="s">
        <v>347</v>
      </c>
    </row>
    <row r="129" spans="19:19" x14ac:dyDescent="0.25">
      <c r="S129" s="34"/>
    </row>
    <row r="130" spans="19:19" x14ac:dyDescent="0.25">
      <c r="S130" s="34" t="s">
        <v>348</v>
      </c>
    </row>
    <row r="131" spans="19:19" x14ac:dyDescent="0.25">
      <c r="S131" s="34"/>
    </row>
    <row r="132" spans="19:19" x14ac:dyDescent="0.25">
      <c r="S132" s="34" t="s">
        <v>349</v>
      </c>
    </row>
    <row r="133" spans="19:19" x14ac:dyDescent="0.25">
      <c r="S133" s="34"/>
    </row>
    <row r="134" spans="19:19" x14ac:dyDescent="0.25">
      <c r="S134" s="34" t="s">
        <v>350</v>
      </c>
    </row>
    <row r="135" spans="19:19" x14ac:dyDescent="0.25">
      <c r="S135" s="34"/>
    </row>
    <row r="136" spans="19:19" x14ac:dyDescent="0.25">
      <c r="S136" s="34" t="s">
        <v>351</v>
      </c>
    </row>
    <row r="140" spans="19:19" ht="18" x14ac:dyDescent="0.25">
      <c r="S140" s="33" t="s">
        <v>352</v>
      </c>
    </row>
    <row r="141" spans="19:19" x14ac:dyDescent="0.25">
      <c r="S141" s="34"/>
    </row>
    <row r="142" spans="19:19" x14ac:dyDescent="0.25">
      <c r="S142" s="34" t="s">
        <v>353</v>
      </c>
    </row>
    <row r="143" spans="19:19" x14ac:dyDescent="0.25">
      <c r="S143" s="34"/>
    </row>
    <row r="144" spans="19:19" x14ac:dyDescent="0.25">
      <c r="S144" s="34" t="s">
        <v>354</v>
      </c>
    </row>
    <row r="145" spans="19:19" x14ac:dyDescent="0.25">
      <c r="S145" s="34"/>
    </row>
    <row r="146" spans="19:19" x14ac:dyDescent="0.25">
      <c r="S146" s="34" t="s">
        <v>355</v>
      </c>
    </row>
    <row r="147" spans="19:19" x14ac:dyDescent="0.25">
      <c r="S147" s="34"/>
    </row>
    <row r="148" spans="19:19" x14ac:dyDescent="0.25">
      <c r="S148" s="34" t="s">
        <v>356</v>
      </c>
    </row>
    <row r="149" spans="19:19" x14ac:dyDescent="0.25">
      <c r="S149" s="34"/>
    </row>
    <row r="150" spans="19:19" x14ac:dyDescent="0.25">
      <c r="S150" s="34" t="s">
        <v>357</v>
      </c>
    </row>
    <row r="151" spans="19:19" x14ac:dyDescent="0.25">
      <c r="S151" s="34"/>
    </row>
    <row r="152" spans="19:19" x14ac:dyDescent="0.25">
      <c r="S152" s="34" t="s">
        <v>358</v>
      </c>
    </row>
    <row r="153" spans="19:19" x14ac:dyDescent="0.25">
      <c r="S153" s="34"/>
    </row>
    <row r="154" spans="19:19" x14ac:dyDescent="0.25">
      <c r="S154" s="34" t="s">
        <v>359</v>
      </c>
    </row>
    <row r="155" spans="19:19" x14ac:dyDescent="0.25">
      <c r="S155" s="34"/>
    </row>
    <row r="156" spans="19:19" x14ac:dyDescent="0.25">
      <c r="S156" s="34" t="s">
        <v>360</v>
      </c>
    </row>
    <row r="157" spans="19:19" x14ac:dyDescent="0.25">
      <c r="S157" s="34"/>
    </row>
    <row r="158" spans="19:19" x14ac:dyDescent="0.25">
      <c r="S158" s="34" t="s">
        <v>361</v>
      </c>
    </row>
    <row r="159" spans="19:19" x14ac:dyDescent="0.25">
      <c r="S159" s="34"/>
    </row>
    <row r="160" spans="19:19" x14ac:dyDescent="0.25">
      <c r="S160" s="34" t="s">
        <v>362</v>
      </c>
    </row>
    <row r="161" spans="19:19" x14ac:dyDescent="0.25">
      <c r="S161" s="34"/>
    </row>
    <row r="162" spans="19:19" x14ac:dyDescent="0.25">
      <c r="S162" s="34" t="s">
        <v>363</v>
      </c>
    </row>
  </sheetData>
  <sortState xmlns:xlrd2="http://schemas.microsoft.com/office/spreadsheetml/2017/richdata2" ref="BS8:BS34">
    <sortCondition ref="BS8:BS34"/>
  </sortState>
  <mergeCells count="120">
    <mergeCell ref="JE3:JE4"/>
    <mergeCell ref="JF3:JF4"/>
    <mergeCell ref="IY3:IY4"/>
    <mergeCell ref="IZ3:IZ4"/>
    <mergeCell ref="JA3:JA4"/>
    <mergeCell ref="JB3:JB4"/>
    <mergeCell ref="JC3:JC4"/>
    <mergeCell ref="JD3:JD4"/>
    <mergeCell ref="IC3:IG3"/>
    <mergeCell ref="IH3:IL3"/>
    <mergeCell ref="IM3:IQ3"/>
    <mergeCell ref="IR3:IT3"/>
    <mergeCell ref="IU3:IW3"/>
    <mergeCell ref="IX3:IX4"/>
    <mergeCell ref="GY3:HC3"/>
    <mergeCell ref="HD3:HH3"/>
    <mergeCell ref="HI3:HM3"/>
    <mergeCell ref="HN3:HR3"/>
    <mergeCell ref="HS3:HW3"/>
    <mergeCell ref="HX3:IB3"/>
    <mergeCell ref="FS3:FW3"/>
    <mergeCell ref="FX3:GB3"/>
    <mergeCell ref="GC3:GI3"/>
    <mergeCell ref="GJ3:GN3"/>
    <mergeCell ref="GO3:GS3"/>
    <mergeCell ref="GT3:GX3"/>
    <mergeCell ref="EJ3:EM3"/>
    <mergeCell ref="EN3:ER3"/>
    <mergeCell ref="ES3:EV3"/>
    <mergeCell ref="EW3:EZ3"/>
    <mergeCell ref="FI3:FM3"/>
    <mergeCell ref="FN3:FR3"/>
    <mergeCell ref="DU3:DU4"/>
    <mergeCell ref="DV3:DV4"/>
    <mergeCell ref="DW3:DW4"/>
    <mergeCell ref="DX3:EA3"/>
    <mergeCell ref="EB3:EE3"/>
    <mergeCell ref="EF3:EI3"/>
    <mergeCell ref="DO3:DO4"/>
    <mergeCell ref="DP3:DP4"/>
    <mergeCell ref="DQ3:DQ4"/>
    <mergeCell ref="DR3:DR4"/>
    <mergeCell ref="DS3:DS4"/>
    <mergeCell ref="DT3:DT4"/>
    <mergeCell ref="DI3:DI4"/>
    <mergeCell ref="DJ3:DJ4"/>
    <mergeCell ref="DK3:DK4"/>
    <mergeCell ref="DL3:DL4"/>
    <mergeCell ref="DM3:DM4"/>
    <mergeCell ref="DN3:DN4"/>
    <mergeCell ref="DC3:DC4"/>
    <mergeCell ref="DD3:DD4"/>
    <mergeCell ref="DE3:DE4"/>
    <mergeCell ref="DF3:DF4"/>
    <mergeCell ref="DG3:DG4"/>
    <mergeCell ref="DH3:DH4"/>
    <mergeCell ref="CW3:CW4"/>
    <mergeCell ref="CX3:CX4"/>
    <mergeCell ref="CY3:CY4"/>
    <mergeCell ref="CZ3:CZ4"/>
    <mergeCell ref="DA3:DA4"/>
    <mergeCell ref="DB3:DB4"/>
    <mergeCell ref="CQ3:CQ4"/>
    <mergeCell ref="CR3:CR4"/>
    <mergeCell ref="CS3:CS4"/>
    <mergeCell ref="CT3:CT4"/>
    <mergeCell ref="CU3:CU4"/>
    <mergeCell ref="CV3:CV4"/>
    <mergeCell ref="BU3:BU4"/>
    <mergeCell ref="BV3:BV4"/>
    <mergeCell ref="BW3:BW4"/>
    <mergeCell ref="BX3:CF3"/>
    <mergeCell ref="CG3:CO3"/>
    <mergeCell ref="CP3:CP4"/>
    <mergeCell ref="BO3:BO4"/>
    <mergeCell ref="BP3:BP4"/>
    <mergeCell ref="BQ3:BQ4"/>
    <mergeCell ref="BR3:BR4"/>
    <mergeCell ref="BS3:BS4"/>
    <mergeCell ref="BT3:BT4"/>
    <mergeCell ref="BI3:BI4"/>
    <mergeCell ref="BJ3:BJ4"/>
    <mergeCell ref="BK3:BK4"/>
    <mergeCell ref="BL3:BL4"/>
    <mergeCell ref="BM3:BM4"/>
    <mergeCell ref="BN3:BN4"/>
    <mergeCell ref="BC3:BC4"/>
    <mergeCell ref="BD3:BD4"/>
    <mergeCell ref="BE3:BE4"/>
    <mergeCell ref="BF3:BF4"/>
    <mergeCell ref="BG3:BG4"/>
    <mergeCell ref="BH3:BH4"/>
    <mergeCell ref="AW3:AW4"/>
    <mergeCell ref="AX3:AX4"/>
    <mergeCell ref="AY3:AY4"/>
    <mergeCell ref="AZ3:AZ4"/>
    <mergeCell ref="BA3:BA4"/>
    <mergeCell ref="BB3:BB4"/>
    <mergeCell ref="AQ3:AQ4"/>
    <mergeCell ref="AR3:AR4"/>
    <mergeCell ref="AS3:AS4"/>
    <mergeCell ref="AT3:AT4"/>
    <mergeCell ref="AU3:AU4"/>
    <mergeCell ref="AV3:AV4"/>
    <mergeCell ref="S3:V3"/>
    <mergeCell ref="W3:AA3"/>
    <mergeCell ref="AB3:AF3"/>
    <mergeCell ref="AG3:AN3"/>
    <mergeCell ref="AO3:AO4"/>
    <mergeCell ref="AP3:AP4"/>
    <mergeCell ref="Y2:AB2"/>
    <mergeCell ref="A3:A4"/>
    <mergeCell ref="B3:B4"/>
    <mergeCell ref="C3:C4"/>
    <mergeCell ref="D3:D4"/>
    <mergeCell ref="E3:E4"/>
    <mergeCell ref="F3:F4"/>
    <mergeCell ref="G3:G4"/>
    <mergeCell ref="H3:J3"/>
    <mergeCell ref="K3:R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C900-E44F-47AA-B95F-4D35D162932F}">
  <dimension ref="A3:B7"/>
  <sheetViews>
    <sheetView workbookViewId="0">
      <selection activeCell="B7" sqref="B7"/>
    </sheetView>
  </sheetViews>
  <sheetFormatPr defaultRowHeight="15" x14ac:dyDescent="0.25"/>
  <cols>
    <col min="1" max="1" width="23.85546875" bestFit="1" customWidth="1"/>
  </cols>
  <sheetData>
    <row r="3" spans="1:2" x14ac:dyDescent="0.25">
      <c r="A3" t="s">
        <v>383</v>
      </c>
      <c r="B3" s="35" t="s">
        <v>384</v>
      </c>
    </row>
    <row r="4" spans="1:2" x14ac:dyDescent="0.25">
      <c r="A4" t="s">
        <v>385</v>
      </c>
      <c r="B4" s="35">
        <v>31</v>
      </c>
    </row>
    <row r="6" spans="1:2" x14ac:dyDescent="0.25">
      <c r="A6" t="s">
        <v>392</v>
      </c>
      <c r="B6" s="35"/>
    </row>
    <row r="7" spans="1:2" x14ac:dyDescent="0.25">
      <c r="A7" t="s">
        <v>393</v>
      </c>
      <c r="B7" s="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Veri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Akbal</dc:creator>
  <cp:lastModifiedBy>Abdullah Akbal</cp:lastModifiedBy>
  <dcterms:created xsi:type="dcterms:W3CDTF">2015-06-05T18:19:34Z</dcterms:created>
  <dcterms:modified xsi:type="dcterms:W3CDTF">2026-04-04T09:46:11Z</dcterms:modified>
</cp:coreProperties>
</file>